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end\Desktop\"/>
    </mc:Choice>
  </mc:AlternateContent>
  <xr:revisionPtr revIDLastSave="0" documentId="13_ncr:1_{2A970209-457F-4653-B1E7-DDDF2ED82540}" xr6:coauthVersionLast="47" xr6:coauthVersionMax="47" xr10:uidLastSave="{00000000-0000-0000-0000-000000000000}"/>
  <bookViews>
    <workbookView xWindow="-120" yWindow="-120" windowWidth="20730" windowHeight="11040" xr2:uid="{318A21FA-4373-4FA7-9436-7E613DEE14A1}"/>
  </bookViews>
  <sheets>
    <sheet name="Analise ultimos 3 anos" sheetId="1" r:id="rId1"/>
    <sheet name="Acumulado B2C ano 2026" sheetId="2" r:id="rId2"/>
    <sheet name="RESULTADO ANO" sheetId="3" r:id="rId3"/>
    <sheet name="PLANO DE META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" i="1" l="1"/>
  <c r="Q13" i="3"/>
  <c r="M29" i="3"/>
  <c r="M25" i="3"/>
  <c r="M20" i="3"/>
  <c r="M4" i="3"/>
  <c r="M8" i="3"/>
  <c r="M12" i="3"/>
  <c r="B12" i="4"/>
  <c r="I28" i="3" l="1"/>
  <c r="H28" i="3"/>
  <c r="F28" i="3"/>
  <c r="E28" i="3"/>
  <c r="C28" i="3"/>
  <c r="B28" i="3"/>
  <c r="B30" i="3" s="1"/>
  <c r="I17" i="3"/>
  <c r="I30" i="3" s="1"/>
  <c r="I35" i="3" s="1"/>
  <c r="H17" i="3"/>
  <c r="H30" i="3" s="1"/>
  <c r="F17" i="3"/>
  <c r="F30" i="3" s="1"/>
  <c r="F35" i="3" s="1"/>
  <c r="E17" i="3"/>
  <c r="E30" i="3" s="1"/>
  <c r="C17" i="3"/>
  <c r="C30" i="3" s="1"/>
  <c r="C35" i="3" s="1"/>
  <c r="B17" i="3"/>
  <c r="AA31" i="1"/>
  <c r="Z31" i="1"/>
  <c r="X31" i="1"/>
  <c r="V31" i="1"/>
  <c r="Y31" i="1" s="1"/>
  <c r="U31" i="1"/>
  <c r="Q31" i="1"/>
  <c r="R31" i="1" s="1"/>
  <c r="O31" i="1"/>
  <c r="P31" i="1" s="1"/>
  <c r="N31" i="1"/>
  <c r="M31" i="1"/>
  <c r="L31" i="1"/>
  <c r="H31" i="1"/>
  <c r="G31" i="1"/>
  <c r="F31" i="1"/>
  <c r="C31" i="1"/>
  <c r="D31" i="1" s="1"/>
  <c r="B31" i="1"/>
  <c r="Z30" i="1"/>
  <c r="AA30" i="1" s="1"/>
  <c r="Y30" i="1"/>
  <c r="X30" i="1"/>
  <c r="V30" i="1"/>
  <c r="W30" i="1" s="1"/>
  <c r="U30" i="1"/>
  <c r="R30" i="1"/>
  <c r="P30" i="1"/>
  <c r="N30" i="1"/>
  <c r="H30" i="1"/>
  <c r="F30" i="1"/>
  <c r="D30" i="1"/>
  <c r="Z29" i="1"/>
  <c r="AA29" i="1" s="1"/>
  <c r="X29" i="1"/>
  <c r="Y29" i="1" s="1"/>
  <c r="V29" i="1"/>
  <c r="U29" i="1"/>
  <c r="W29" i="1" s="1"/>
  <c r="R29" i="1"/>
  <c r="P29" i="1"/>
  <c r="N29" i="1"/>
  <c r="H29" i="1"/>
  <c r="F29" i="1"/>
  <c r="D29" i="1"/>
  <c r="Z28" i="1"/>
  <c r="AA28" i="1" s="1"/>
  <c r="Y28" i="1"/>
  <c r="X28" i="1"/>
  <c r="V28" i="1"/>
  <c r="W28" i="1" s="1"/>
  <c r="U28" i="1"/>
  <c r="R28" i="1"/>
  <c r="P28" i="1"/>
  <c r="N28" i="1"/>
  <c r="H28" i="1"/>
  <c r="F28" i="1"/>
  <c r="D28" i="1"/>
  <c r="Z27" i="1"/>
  <c r="AA27" i="1" s="1"/>
  <c r="X27" i="1"/>
  <c r="Y27" i="1" s="1"/>
  <c r="W27" i="1"/>
  <c r="V27" i="1"/>
  <c r="U27" i="1"/>
  <c r="R27" i="1"/>
  <c r="P27" i="1"/>
  <c r="N27" i="1"/>
  <c r="H27" i="1"/>
  <c r="F27" i="1"/>
  <c r="D27" i="1"/>
  <c r="AA26" i="1"/>
  <c r="Z26" i="1"/>
  <c r="X26" i="1"/>
  <c r="Y26" i="1" s="1"/>
  <c r="V26" i="1"/>
  <c r="W26" i="1" s="1"/>
  <c r="U26" i="1"/>
  <c r="R26" i="1"/>
  <c r="P26" i="1"/>
  <c r="N26" i="1"/>
  <c r="H26" i="1"/>
  <c r="F26" i="1"/>
  <c r="D26" i="1"/>
  <c r="Z25" i="1"/>
  <c r="AA25" i="1" s="1"/>
  <c r="Y25" i="1"/>
  <c r="X25" i="1"/>
  <c r="V25" i="1"/>
  <c r="W25" i="1" s="1"/>
  <c r="U25" i="1"/>
  <c r="R25" i="1"/>
  <c r="P25" i="1"/>
  <c r="N25" i="1"/>
  <c r="H25" i="1"/>
  <c r="F25" i="1"/>
  <c r="D25" i="1"/>
  <c r="Z24" i="1"/>
  <c r="AA24" i="1" s="1"/>
  <c r="X24" i="1"/>
  <c r="Y24" i="1" s="1"/>
  <c r="V24" i="1"/>
  <c r="W24" i="1" s="1"/>
  <c r="U24" i="1"/>
  <c r="R24" i="1"/>
  <c r="P24" i="1"/>
  <c r="N24" i="1"/>
  <c r="H24" i="1"/>
  <c r="F24" i="1"/>
  <c r="D24" i="1"/>
  <c r="AA23" i="1"/>
  <c r="Z23" i="1"/>
  <c r="X23" i="1"/>
  <c r="Y23" i="1" s="1"/>
  <c r="V23" i="1"/>
  <c r="W23" i="1" s="1"/>
  <c r="U23" i="1"/>
  <c r="R23" i="1"/>
  <c r="P23" i="1"/>
  <c r="N23" i="1"/>
  <c r="H23" i="1"/>
  <c r="F23" i="1"/>
  <c r="D23" i="1"/>
  <c r="Z22" i="1"/>
  <c r="AA22" i="1" s="1"/>
  <c r="X22" i="1"/>
  <c r="Y22" i="1" s="1"/>
  <c r="V22" i="1"/>
  <c r="W22" i="1" s="1"/>
  <c r="U22" i="1"/>
  <c r="R22" i="1"/>
  <c r="P22" i="1"/>
  <c r="N22" i="1"/>
  <c r="H22" i="1"/>
  <c r="F22" i="1"/>
  <c r="D22" i="1"/>
  <c r="Z21" i="1"/>
  <c r="AA21" i="1" s="1"/>
  <c r="X21" i="1"/>
  <c r="Y21" i="1" s="1"/>
  <c r="V21" i="1"/>
  <c r="W21" i="1" s="1"/>
  <c r="U21" i="1"/>
  <c r="R21" i="1"/>
  <c r="P21" i="1"/>
  <c r="N21" i="1"/>
  <c r="H21" i="1"/>
  <c r="F21" i="1"/>
  <c r="D21" i="1"/>
  <c r="Z20" i="1"/>
  <c r="AA20" i="1" s="1"/>
  <c r="X20" i="1"/>
  <c r="Y20" i="1" s="1"/>
  <c r="V20" i="1"/>
  <c r="W20" i="1" s="1"/>
  <c r="U20" i="1"/>
  <c r="U32" i="1" s="1"/>
  <c r="R20" i="1"/>
  <c r="P20" i="1"/>
  <c r="N20" i="1"/>
  <c r="I20" i="1"/>
  <c r="H20" i="1"/>
  <c r="F20" i="1"/>
  <c r="D20" i="1"/>
  <c r="R19" i="1"/>
  <c r="P19" i="1"/>
  <c r="N19" i="1"/>
  <c r="I19" i="1"/>
  <c r="I21" i="1" s="1"/>
  <c r="H19" i="1"/>
  <c r="F19" i="1"/>
  <c r="D19" i="1"/>
  <c r="Q15" i="1"/>
  <c r="R15" i="1" s="1"/>
  <c r="O15" i="1"/>
  <c r="P15" i="1" s="1"/>
  <c r="N15" i="1"/>
  <c r="M15" i="1"/>
  <c r="L15" i="1"/>
  <c r="G15" i="1"/>
  <c r="H15" i="1" s="1"/>
  <c r="E15" i="1"/>
  <c r="F15" i="1" s="1"/>
  <c r="C15" i="1"/>
  <c r="D15" i="1" s="1"/>
  <c r="B15" i="1"/>
  <c r="Z14" i="1"/>
  <c r="AA14" i="1" s="1"/>
  <c r="Y14" i="1"/>
  <c r="X14" i="1"/>
  <c r="V14" i="1"/>
  <c r="W14" i="1" s="1"/>
  <c r="U14" i="1"/>
  <c r="R14" i="1"/>
  <c r="P14" i="1"/>
  <c r="N14" i="1"/>
  <c r="H14" i="1"/>
  <c r="F14" i="1"/>
  <c r="D14" i="1"/>
  <c r="Z13" i="1"/>
  <c r="AA13" i="1" s="1"/>
  <c r="X13" i="1"/>
  <c r="Y13" i="1" s="1"/>
  <c r="V13" i="1"/>
  <c r="W13" i="1" s="1"/>
  <c r="U13" i="1"/>
  <c r="R13" i="1"/>
  <c r="P13" i="1"/>
  <c r="N13" i="1"/>
  <c r="H13" i="1"/>
  <c r="F13" i="1"/>
  <c r="D13" i="1"/>
  <c r="AA12" i="1"/>
  <c r="Z12" i="1"/>
  <c r="X12" i="1"/>
  <c r="Y12" i="1" s="1"/>
  <c r="V12" i="1"/>
  <c r="W12" i="1" s="1"/>
  <c r="U12" i="1"/>
  <c r="R12" i="1"/>
  <c r="P12" i="1"/>
  <c r="N12" i="1"/>
  <c r="H12" i="1"/>
  <c r="F12" i="1"/>
  <c r="D12" i="1"/>
  <c r="Z11" i="1"/>
  <c r="AA11" i="1" s="1"/>
  <c r="X11" i="1"/>
  <c r="Y11" i="1" s="1"/>
  <c r="V11" i="1"/>
  <c r="W11" i="1" s="1"/>
  <c r="U11" i="1"/>
  <c r="R11" i="1"/>
  <c r="P11" i="1"/>
  <c r="N11" i="1"/>
  <c r="H11" i="1"/>
  <c r="F11" i="1"/>
  <c r="D11" i="1"/>
  <c r="Z10" i="1"/>
  <c r="AA10" i="1" s="1"/>
  <c r="X10" i="1"/>
  <c r="Y10" i="1" s="1"/>
  <c r="V10" i="1"/>
  <c r="W10" i="1" s="1"/>
  <c r="U10" i="1"/>
  <c r="R10" i="1"/>
  <c r="P10" i="1"/>
  <c r="N10" i="1"/>
  <c r="H10" i="1"/>
  <c r="F10" i="1"/>
  <c r="D10" i="1"/>
  <c r="Z9" i="1"/>
  <c r="AA9" i="1" s="1"/>
  <c r="X9" i="1"/>
  <c r="Y9" i="1" s="1"/>
  <c r="V9" i="1"/>
  <c r="W9" i="1" s="1"/>
  <c r="U9" i="1"/>
  <c r="R9" i="1"/>
  <c r="P9" i="1"/>
  <c r="N9" i="1"/>
  <c r="H9" i="1"/>
  <c r="F9" i="1"/>
  <c r="D9" i="1"/>
  <c r="Z8" i="1"/>
  <c r="AA8" i="1" s="1"/>
  <c r="X8" i="1"/>
  <c r="Y8" i="1" s="1"/>
  <c r="V8" i="1"/>
  <c r="W8" i="1" s="1"/>
  <c r="U8" i="1"/>
  <c r="R8" i="1"/>
  <c r="P8" i="1"/>
  <c r="N8" i="1"/>
  <c r="H8" i="1"/>
  <c r="F8" i="1"/>
  <c r="D8" i="1"/>
  <c r="Z7" i="1"/>
  <c r="AA7" i="1" s="1"/>
  <c r="X7" i="1"/>
  <c r="Y7" i="1" s="1"/>
  <c r="W7" i="1"/>
  <c r="V7" i="1"/>
  <c r="U7" i="1"/>
  <c r="R7" i="1"/>
  <c r="P7" i="1"/>
  <c r="N7" i="1"/>
  <c r="H7" i="1"/>
  <c r="F7" i="1"/>
  <c r="D7" i="1"/>
  <c r="Z6" i="1"/>
  <c r="AA6" i="1" s="1"/>
  <c r="X6" i="1"/>
  <c r="Y6" i="1" s="1"/>
  <c r="V6" i="1"/>
  <c r="W6" i="1" s="1"/>
  <c r="U6" i="1"/>
  <c r="R6" i="1"/>
  <c r="P6" i="1"/>
  <c r="N6" i="1"/>
  <c r="H6" i="1"/>
  <c r="F6" i="1"/>
  <c r="D6" i="1"/>
  <c r="Z5" i="1"/>
  <c r="AA5" i="1" s="1"/>
  <c r="X5" i="1"/>
  <c r="Y5" i="1" s="1"/>
  <c r="W5" i="1"/>
  <c r="V5" i="1"/>
  <c r="U5" i="1"/>
  <c r="R5" i="1"/>
  <c r="P5" i="1"/>
  <c r="N5" i="1"/>
  <c r="H5" i="1"/>
  <c r="F5" i="1"/>
  <c r="D5" i="1"/>
  <c r="Z4" i="1"/>
  <c r="AB4" i="1" s="1"/>
  <c r="X4" i="1"/>
  <c r="Y4" i="1" s="1"/>
  <c r="V4" i="1"/>
  <c r="W4" i="1" s="1"/>
  <c r="U4" i="1"/>
  <c r="R4" i="1"/>
  <c r="P4" i="1"/>
  <c r="N4" i="1"/>
  <c r="I4" i="1"/>
  <c r="I5" i="1" s="1"/>
  <c r="H4" i="1"/>
  <c r="F4" i="1"/>
  <c r="D4" i="1"/>
  <c r="Z3" i="1"/>
  <c r="Z15" i="1" s="1"/>
  <c r="X3" i="1"/>
  <c r="AB3" i="1" s="1"/>
  <c r="V3" i="1"/>
  <c r="V15" i="1" s="1"/>
  <c r="U3" i="1"/>
  <c r="U15" i="1" s="1"/>
  <c r="R3" i="1"/>
  <c r="P3" i="1"/>
  <c r="N3" i="1"/>
  <c r="I3" i="1"/>
  <c r="H3" i="1"/>
  <c r="F3" i="1"/>
  <c r="D3" i="1"/>
  <c r="W15" i="1" l="1"/>
  <c r="AB5" i="1"/>
  <c r="W31" i="1"/>
  <c r="AA4" i="1"/>
  <c r="V32" i="1"/>
  <c r="W32" i="1" s="1"/>
  <c r="X32" i="1"/>
  <c r="Y32" i="1" s="1"/>
  <c r="Z32" i="1"/>
  <c r="AA32" i="1" s="1"/>
  <c r="W3" i="1"/>
  <c r="Y3" i="1"/>
  <c r="X15" i="1"/>
  <c r="Y15" i="1" s="1"/>
  <c r="AA3" i="1"/>
  <c r="AA15" i="1" l="1"/>
</calcChain>
</file>

<file path=xl/sharedStrings.xml><?xml version="1.0" encoding="utf-8"?>
<sst xmlns="http://schemas.openxmlformats.org/spreadsheetml/2006/main" count="269" uniqueCount="97">
  <si>
    <t>OXIGENAR</t>
  </si>
  <si>
    <t>Crescimento mês / ano</t>
  </si>
  <si>
    <t>1º Trimestre</t>
  </si>
  <si>
    <t>Crescimento mês/ano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</si>
  <si>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</si>
  <si>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</si>
  <si>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</si>
  <si>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</si>
  <si>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</si>
  <si>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</si>
  <si>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</si>
  <si>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</si>
  <si>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</si>
  <si>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</si>
  <si>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</si>
  <si>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</si>
  <si>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</si>
  <si>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TOTAL ANO</t>
  </si>
  <si>
    <t>PULMONAIR</t>
  </si>
  <si>
    <t>RESULTADO GERAL - OXIGENAR</t>
  </si>
  <si>
    <t>RESULTADO GERAL - PULMONAIR</t>
  </si>
  <si>
    <t>RESULTADO LOCAÇÃO - OXIGENAR</t>
  </si>
  <si>
    <t>RESULTADO LOCAÇÃO - PULMONAIR</t>
  </si>
  <si>
    <t>CONSOLIDADO GRUPO</t>
  </si>
  <si>
    <t>RESULTADO GERAL</t>
  </si>
  <si>
    <t xml:space="preserve">CONSOLIDADO GRUPO </t>
  </si>
  <si>
    <t>RESULTADO LOCAÇÃO</t>
  </si>
  <si>
    <t>Lojas</t>
  </si>
  <si>
    <t>Ranking Resultado Geral 2026</t>
  </si>
  <si>
    <t>Ranking Locação 2026</t>
  </si>
  <si>
    <t xml:space="preserve">Barra da Tijuca </t>
  </si>
  <si>
    <t>Domiciliar RJ</t>
  </si>
  <si>
    <t>Guarulhos</t>
  </si>
  <si>
    <t>Tatuapé</t>
  </si>
  <si>
    <t>Tijuca</t>
  </si>
  <si>
    <t>Domiciliar SP</t>
  </si>
  <si>
    <t>Morumbi</t>
  </si>
  <si>
    <t>Botafogo</t>
  </si>
  <si>
    <t>Santana</t>
  </si>
  <si>
    <t>Volta Redonda</t>
  </si>
  <si>
    <t>Curitiba</t>
  </si>
  <si>
    <t>Recreio</t>
  </si>
  <si>
    <t>Osasco</t>
  </si>
  <si>
    <t>Niterói</t>
  </si>
  <si>
    <t>Saude</t>
  </si>
  <si>
    <t>Copacabana</t>
  </si>
  <si>
    <t>Belo Horizonte</t>
  </si>
  <si>
    <t>Itaim</t>
  </si>
  <si>
    <t>Porto Alegre</t>
  </si>
  <si>
    <t>São Caetano</t>
  </si>
  <si>
    <t>Jardim Botanico</t>
  </si>
  <si>
    <t>Salvador</t>
  </si>
  <si>
    <t>Nova Iguaçu</t>
  </si>
  <si>
    <t>Juiz de Fora</t>
  </si>
  <si>
    <t>LOJAS</t>
  </si>
  <si>
    <t>Meta Locação Janeiro</t>
  </si>
  <si>
    <t>Meta Geral Janeiro</t>
  </si>
  <si>
    <t>Meta Locação Fevereiro</t>
  </si>
  <si>
    <t>Meta Geral Fevereiro</t>
  </si>
  <si>
    <t>Meta Locação Março</t>
  </si>
  <si>
    <t>Meta Geral Março</t>
  </si>
  <si>
    <t>Meta Locação GRUPO</t>
  </si>
  <si>
    <t>Meta Geral GRUPO</t>
  </si>
  <si>
    <t>Meta Locação OXIGENAR</t>
  </si>
  <si>
    <t>Barra</t>
  </si>
  <si>
    <t>Meta Geral OXIGENAR</t>
  </si>
  <si>
    <t>Meta Locação PULMONAIR</t>
  </si>
  <si>
    <t>Meta Geral PULMONAIR</t>
  </si>
  <si>
    <t>TOTAL OXIGENAR</t>
  </si>
  <si>
    <t>Saúde</t>
  </si>
  <si>
    <t>Total PULMONAIR</t>
  </si>
  <si>
    <t>GERAL GRUPO B2C</t>
  </si>
  <si>
    <t>META ANO</t>
  </si>
  <si>
    <t>Liquidado Oxigenar</t>
  </si>
  <si>
    <t>Liquidado Pulmonair</t>
  </si>
  <si>
    <t>B2B</t>
  </si>
  <si>
    <t>REALIZADO</t>
  </si>
  <si>
    <t>Assistencia Técnica</t>
  </si>
  <si>
    <t>O2 Brasil</t>
  </si>
  <si>
    <t>NOVA Loja 1</t>
  </si>
  <si>
    <t>NOVA Loja 2</t>
  </si>
  <si>
    <t>NOVA Loja 3</t>
  </si>
  <si>
    <t>NOVA Loja 4</t>
  </si>
  <si>
    <t>24 LOJAS GRUPO</t>
  </si>
  <si>
    <t>QUEM ?</t>
  </si>
  <si>
    <t>COMO ?</t>
  </si>
  <si>
    <t>Oxigenar GERAL - Janeiro</t>
  </si>
  <si>
    <t>Pulmonair GERAL - Janeiro</t>
  </si>
  <si>
    <t>TOTALGRUPO JANEIRO</t>
  </si>
  <si>
    <t>TOTAL GRUPO FEVEREIRO</t>
  </si>
  <si>
    <t>Oxigenar GERAL Fevereiro</t>
  </si>
  <si>
    <t>Pulmonair GERAL Fevereiro</t>
  </si>
  <si>
    <t>Oxigenar GERAL Março</t>
  </si>
  <si>
    <t>Pulmonair GERAL Março</t>
  </si>
  <si>
    <t>TOTAL GRUPO MARÇO</t>
  </si>
  <si>
    <t>⮽</t>
  </si>
  <si>
    <t>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</si>
</sst>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8"/>
      <color rgb="FFFF0000"/>
      <name val="Aptos Narrow"/>
      <family val="2"/>
    </font>
    <font>
      <sz val="18"/>
      <color rgb="FF00B050"/>
      <name val="Aptos Narrow"/>
      <family val="2"/>
    </font>
  </fonts>
  <fills count="1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0">
    <xf numFmtId="0" fontId="0" fillId="0" borderId="0" xfId="0"/>
    <xf numFmtId="0" fontId="2" fillId="0" borderId="0" xfId="0" applyFont="1"/>
    <xf numFmtId="0" fontId="0" fillId="2" borderId="1" xfId="0" applyFill="1" applyBorder="1"/>
    <xf numFmtId="0" fontId="0" fillId="2" borderId="0" xfId="0" applyFill="1"/>
    <xf numFmtId="0" fontId="0" fillId="3" borderId="1" xfId="0" applyFill="1" applyBorder="1" applyAlignment="1">
      <alignment horizontal="center"/>
    </xf>
    <xf numFmtId="0" fontId="0" fillId="4" borderId="1" xfId="0" applyFill="1" applyBorder="1"/>
    <xf numFmtId="0" fontId="0" fillId="0" borderId="1" xfId="0" applyBorder="1"/>
    <xf numFmtId="164" fontId="0" fillId="0" borderId="1" xfId="0" applyNumberFormat="1" applyBorder="1"/>
    <xf numFmtId="9" fontId="0" fillId="0" borderId="1" xfId="1" applyFont="1" applyBorder="1"/>
    <xf numFmtId="9" fontId="0" fillId="0" borderId="2" xfId="1" applyFont="1" applyBorder="1"/>
    <xf numFmtId="164" fontId="0" fillId="0" borderId="0" xfId="0" applyNumberFormat="1"/>
    <xf numFmtId="10" fontId="0" fillId="0" borderId="1" xfId="0" applyNumberFormat="1" applyBorder="1"/>
    <xf numFmtId="9" fontId="0" fillId="0" borderId="3" xfId="1" applyFont="1" applyFill="1" applyBorder="1"/>
    <xf numFmtId="0" fontId="0" fillId="5" borderId="1" xfId="0" applyFill="1" applyBorder="1"/>
    <xf numFmtId="0" fontId="0" fillId="0" borderId="2" xfId="0" applyBorder="1"/>
    <xf numFmtId="0" fontId="0" fillId="6" borderId="0" xfId="0" applyFill="1"/>
    <xf numFmtId="0" fontId="0" fillId="0" borderId="4" xfId="0" applyBorder="1"/>
    <xf numFmtId="164" fontId="0" fillId="4" borderId="1" xfId="0" applyNumberFormat="1" applyFill="1" applyBorder="1"/>
    <xf numFmtId="164" fontId="0" fillId="4" borderId="2" xfId="0" applyNumberFormat="1" applyFill="1" applyBorder="1"/>
    <xf numFmtId="164" fontId="0" fillId="6" borderId="0" xfId="0" applyNumberFormat="1" applyFill="1"/>
    <xf numFmtId="164" fontId="0" fillId="7" borderId="4" xfId="0" applyNumberFormat="1" applyFill="1" applyBorder="1"/>
    <xf numFmtId="164" fontId="0" fillId="7" borderId="2" xfId="0" applyNumberFormat="1" applyFill="1" applyBorder="1"/>
    <xf numFmtId="164" fontId="0" fillId="4" borderId="4" xfId="0" applyNumberFormat="1" applyFill="1" applyBorder="1"/>
    <xf numFmtId="164" fontId="0" fillId="7" borderId="1" xfId="0" applyNumberFormat="1" applyFill="1" applyBorder="1"/>
    <xf numFmtId="164" fontId="0" fillId="0" borderId="2" xfId="0" applyNumberFormat="1" applyBorder="1"/>
    <xf numFmtId="164" fontId="0" fillId="8" borderId="1" xfId="0" applyNumberFormat="1" applyFill="1" applyBorder="1"/>
    <xf numFmtId="164" fontId="0" fillId="8" borderId="2" xfId="0" applyNumberFormat="1" applyFill="1" applyBorder="1"/>
    <xf numFmtId="164" fontId="0" fillId="8" borderId="4" xfId="0" applyNumberFormat="1" applyFill="1" applyBorder="1"/>
    <xf numFmtId="164" fontId="0" fillId="6" borderId="1" xfId="0" applyNumberFormat="1" applyFill="1" applyBorder="1"/>
    <xf numFmtId="164" fontId="0" fillId="6" borderId="2" xfId="0" applyNumberFormat="1" applyFill="1" applyBorder="1"/>
    <xf numFmtId="164" fontId="0" fillId="6" borderId="4" xfId="0" applyNumberFormat="1" applyFill="1" applyBorder="1"/>
    <xf numFmtId="0" fontId="0" fillId="0" borderId="5" xfId="0" applyBorder="1"/>
    <xf numFmtId="164" fontId="0" fillId="8" borderId="0" xfId="0" applyNumberFormat="1" applyFill="1"/>
    <xf numFmtId="164" fontId="0" fillId="6" borderId="6" xfId="0" applyNumberFormat="1" applyFill="1" applyBorder="1"/>
    <xf numFmtId="0" fontId="3" fillId="0" borderId="1" xfId="0" applyFont="1" applyBorder="1"/>
    <xf numFmtId="164" fontId="3" fillId="0" borderId="1" xfId="0" applyNumberFormat="1" applyFont="1" applyBorder="1"/>
    <xf numFmtId="0" fontId="3" fillId="6" borderId="1" xfId="0" applyFont="1" applyFill="1" applyBorder="1"/>
    <xf numFmtId="0" fontId="3" fillId="4" borderId="1" xfId="0" applyFont="1" applyFill="1" applyBorder="1" applyAlignment="1">
      <alignment horizontal="center"/>
    </xf>
    <xf numFmtId="164" fontId="0" fillId="5" borderId="1" xfId="0" applyNumberFormat="1" applyFill="1" applyBorder="1"/>
    <xf numFmtId="0" fontId="0" fillId="3" borderId="1" xfId="0" applyFill="1" applyBorder="1"/>
    <xf numFmtId="164" fontId="0" fillId="3" borderId="1" xfId="0" applyNumberFormat="1" applyFill="1" applyBorder="1"/>
    <xf numFmtId="0" fontId="0" fillId="4" borderId="1" xfId="0" applyFill="1" applyBorder="1" applyAlignment="1">
      <alignment horizontal="left"/>
    </xf>
    <xf numFmtId="0" fontId="0" fillId="4" borderId="4" xfId="0" applyFill="1" applyBorder="1"/>
    <xf numFmtId="0" fontId="0" fillId="3" borderId="4" xfId="0" applyFill="1" applyBorder="1"/>
    <xf numFmtId="0" fontId="0" fillId="5" borderId="4" xfId="0" applyFill="1" applyBorder="1"/>
    <xf numFmtId="0" fontId="4" fillId="0" borderId="1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9" borderId="1" xfId="0" applyFill="1" applyBorder="1"/>
    <xf numFmtId="164" fontId="0" fillId="9" borderId="1" xfId="0" applyNumberFormat="1" applyFill="1" applyBorder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3A79F-D93B-487E-95CA-B1F9E439209C}">
  <dimension ref="A1:AB32"/>
  <sheetViews>
    <sheetView tabSelected="1" workbookViewId="0">
      <selection activeCell="C7" sqref="C7"/>
    </sheetView>
  </sheetViews>
  <sheetFormatPr defaultRowHeight="14.25"/>
  <cols>
    <col min="1" max="1" width="14.75" customWidth="1"/>
    <col min="2" max="3" width="15.25" bestFit="1" customWidth="1"/>
    <col min="4" max="4" width="20.25" bestFit="1" customWidth="1"/>
    <col min="5" max="5" width="15.375" bestFit="1" customWidth="1"/>
    <col min="6" max="6" width="20.25" bestFit="1" customWidth="1"/>
    <col min="7" max="7" width="14.5" customWidth="1"/>
    <col min="8" max="8" width="20.25" bestFit="1" customWidth="1"/>
    <col min="9" max="9" width="14.375" bestFit="1" customWidth="1"/>
    <col min="11" max="11" width="11.375" bestFit="1" customWidth="1"/>
    <col min="12" max="12" width="14.25" bestFit="1" customWidth="1"/>
    <col min="13" max="13" width="15.25" bestFit="1" customWidth="1"/>
    <col min="14" max="14" width="20.25" bestFit="1" customWidth="1"/>
    <col min="15" max="15" width="14.25" bestFit="1" customWidth="1"/>
    <col min="16" max="16" width="20.25" bestFit="1" customWidth="1"/>
    <col min="17" max="17" width="14.25" bestFit="1" customWidth="1"/>
    <col min="18" max="18" width="19.25" customWidth="1"/>
    <col min="20" max="20" width="10.5" bestFit="1" customWidth="1"/>
    <col min="21" max="21" width="15.25" bestFit="1" customWidth="1"/>
    <col min="22" max="22" width="17.5" bestFit="1" customWidth="1"/>
    <col min="23" max="23" width="19.375" bestFit="1" customWidth="1"/>
    <col min="24" max="24" width="15.25" bestFit="1" customWidth="1"/>
    <col min="25" max="25" width="19.375" bestFit="1" customWidth="1"/>
    <col min="26" max="26" width="14.25" bestFit="1" customWidth="1"/>
    <col min="27" max="27" width="19.375" bestFit="1" customWidth="1"/>
    <col min="28" max="28" width="14.375" bestFit="1" customWidth="1"/>
  </cols>
  <sheetData>
    <row r="1" spans="1:28" ht="18">
      <c r="E1" s="1" t="s">
        <v>19</v>
      </c>
      <c r="F1" s="1"/>
      <c r="M1" s="1" t="s">
        <v>21</v>
      </c>
      <c r="N1" s="1"/>
      <c r="O1" s="1"/>
      <c r="P1" s="1"/>
      <c r="V1" s="1" t="s">
        <v>23</v>
      </c>
      <c r="W1" s="1"/>
      <c r="X1" s="1" t="s">
        <v>24</v>
      </c>
      <c r="Y1" s="1"/>
    </row>
    <row r="2" spans="1:28">
      <c r="A2" s="2" t="s">
        <v>0</v>
      </c>
      <c r="B2" s="2">
        <v>2023</v>
      </c>
      <c r="C2" s="2">
        <v>2024</v>
      </c>
      <c r="D2" s="3" t="s">
        <v>1</v>
      </c>
      <c r="E2" s="2">
        <v>2025</v>
      </c>
      <c r="F2" s="3" t="s">
        <v>1</v>
      </c>
      <c r="G2" s="2">
        <v>2026</v>
      </c>
      <c r="H2" s="3" t="s">
        <v>1</v>
      </c>
      <c r="I2" s="4" t="s">
        <v>2</v>
      </c>
      <c r="K2" s="2" t="s">
        <v>0</v>
      </c>
      <c r="L2" s="2">
        <v>2023</v>
      </c>
      <c r="M2" s="2">
        <v>2024</v>
      </c>
      <c r="N2" s="3" t="s">
        <v>1</v>
      </c>
      <c r="O2" s="2">
        <v>2025</v>
      </c>
      <c r="P2" s="3" t="s">
        <v>1</v>
      </c>
      <c r="Q2" s="2">
        <v>2026</v>
      </c>
      <c r="R2" s="3" t="s">
        <v>3</v>
      </c>
      <c r="T2" s="5" t="s">
        <v>0</v>
      </c>
      <c r="U2" s="5">
        <v>2023</v>
      </c>
      <c r="V2" s="5">
        <v>2024</v>
      </c>
      <c r="W2" s="5" t="s">
        <v>3</v>
      </c>
      <c r="X2" s="5">
        <v>2025</v>
      </c>
      <c r="Y2" s="5" t="s">
        <v>3</v>
      </c>
      <c r="Z2" s="5">
        <v>2026</v>
      </c>
      <c r="AA2" s="5" t="s">
        <v>3</v>
      </c>
    </row>
    <row r="3" spans="1:28">
      <c r="A3" s="6" t="s">
        <v>4</v>
      </c>
      <c r="B3" s="7">
        <v>875698.94</v>
      </c>
      <c r="C3" s="7">
        <v>883985.13</v>
      </c>
      <c r="D3" s="8">
        <f>(C3/B3)-1</f>
        <v>9.4623729931659906E-3</v>
      </c>
      <c r="E3" s="7">
        <v>1269452.26</v>
      </c>
      <c r="F3" s="8">
        <f>(E3/C3)-1</f>
        <v>0.43605612460924537</v>
      </c>
      <c r="G3" s="7">
        <v>1473848.6</v>
      </c>
      <c r="H3" s="9">
        <f>(G3/E3)-1</f>
        <v>0.1610114428407099</v>
      </c>
      <c r="I3" s="7">
        <f>(E3+E4+E5)</f>
        <v>3663507.38</v>
      </c>
      <c r="K3" s="6" t="s">
        <v>4</v>
      </c>
      <c r="L3" s="7">
        <v>319216.7</v>
      </c>
      <c r="M3" s="7">
        <v>294310.5</v>
      </c>
      <c r="N3" s="8">
        <f>(M3/L3)-1</f>
        <v>-7.8022860332808475E-2</v>
      </c>
      <c r="O3" s="7">
        <v>441007.75</v>
      </c>
      <c r="P3" s="8">
        <f>(O3/M3)-1</f>
        <v>0.49844382038697232</v>
      </c>
      <c r="Q3" s="7">
        <v>470237.36</v>
      </c>
      <c r="R3" s="8">
        <f>(Q3/O3)-1</f>
        <v>6.6279130015288734E-2</v>
      </c>
      <c r="T3" s="6" t="s">
        <v>4</v>
      </c>
      <c r="U3" s="7">
        <f t="shared" ref="U3:V14" si="0">(B3+B19)</f>
        <v>1035902.94</v>
      </c>
      <c r="V3" s="7">
        <f t="shared" si="0"/>
        <v>1184235.1299999999</v>
      </c>
      <c r="W3" s="8">
        <f>(V3/U3)-1</f>
        <v>0.14319120476673231</v>
      </c>
      <c r="X3" s="7">
        <f t="shared" ref="X3:X14" si="1">(E3+E19)</f>
        <v>1811073.26</v>
      </c>
      <c r="Y3" s="8">
        <f>(X3/V3)-1</f>
        <v>0.52931897907808234</v>
      </c>
      <c r="Z3" s="7">
        <f t="shared" ref="Z3:Z14" si="2">(G3+G19)</f>
        <v>2292584.2000000002</v>
      </c>
      <c r="AA3" s="8">
        <f>(Z3/X3)-1</f>
        <v>0.26587049272650631</v>
      </c>
      <c r="AB3" s="10">
        <f>(X3+X4+X5)</f>
        <v>5313226.82</v>
      </c>
    </row>
    <row r="4" spans="1:28">
      <c r="A4" s="6" t="s">
        <v>5</v>
      </c>
      <c r="B4" s="7">
        <v>654234.80000000005</v>
      </c>
      <c r="C4" s="7">
        <v>786069.37</v>
      </c>
      <c r="D4" s="8">
        <f t="shared" ref="D4:D15" si="3">(C4/B4)-1</f>
        <v>0.20150956506746498</v>
      </c>
      <c r="E4" s="7">
        <v>1311130.44</v>
      </c>
      <c r="F4" s="8">
        <f t="shared" ref="F4:F15" si="4">(E4/C4)-1</f>
        <v>0.66795767655976723</v>
      </c>
      <c r="G4" s="7">
        <v>1132194.2</v>
      </c>
      <c r="H4" s="9">
        <f t="shared" ref="H4:H15" si="5">(G4/E4)-1</f>
        <v>-0.13647478125822476</v>
      </c>
      <c r="I4" s="7">
        <f>(G3+G4+G5)</f>
        <v>4178817.7699999996</v>
      </c>
      <c r="K4" s="6" t="s">
        <v>5</v>
      </c>
      <c r="L4" s="7">
        <v>235499.5</v>
      </c>
      <c r="M4" s="7">
        <v>221624.3</v>
      </c>
      <c r="N4" s="8">
        <f t="shared" ref="N4:N15" si="6">(M4/L4)-1</f>
        <v>-5.8918171800789398E-2</v>
      </c>
      <c r="O4" s="7">
        <v>352719.79</v>
      </c>
      <c r="P4" s="8">
        <f t="shared" ref="P4:P15" si="7">(O4/M4)-1</f>
        <v>0.59152128173670482</v>
      </c>
      <c r="Q4" s="7">
        <v>393225.22</v>
      </c>
      <c r="R4" s="8">
        <f t="shared" ref="R4:R15" si="8">(Q4/O4)-1</f>
        <v>0.11483741811027959</v>
      </c>
      <c r="T4" s="6" t="s">
        <v>5</v>
      </c>
      <c r="U4" s="7">
        <f t="shared" si="0"/>
        <v>768369.8</v>
      </c>
      <c r="V4" s="7">
        <f t="shared" si="0"/>
        <v>1120186.8700000001</v>
      </c>
      <c r="W4" s="8">
        <f t="shared" ref="W4:W15" si="9">(V4/U4)-1</f>
        <v>0.45787467180516472</v>
      </c>
      <c r="X4" s="7">
        <f t="shared" si="1"/>
        <v>1903386.27</v>
      </c>
      <c r="Y4" s="8">
        <f t="shared" ref="Y4:Y15" si="10">(X4/V4)-1</f>
        <v>0.69916852355178905</v>
      </c>
      <c r="Z4" s="7">
        <f t="shared" si="2"/>
        <v>1981516.52</v>
      </c>
      <c r="AA4" s="8">
        <f t="shared" ref="AA4:AA15" si="11">(Z4/X4)-1</f>
        <v>4.1048026473365251E-2</v>
      </c>
      <c r="AB4" s="10">
        <f>(Z3+Z4+Z5)</f>
        <v>6938857.0900000008</v>
      </c>
    </row>
    <row r="5" spans="1:28">
      <c r="A5" s="6" t="s">
        <v>6</v>
      </c>
      <c r="B5" s="7">
        <v>835612.27</v>
      </c>
      <c r="C5" s="7">
        <v>956028.53</v>
      </c>
      <c r="D5" s="8">
        <f t="shared" si="3"/>
        <v>0.14410542343998856</v>
      </c>
      <c r="E5" s="7">
        <v>1082924.68</v>
      </c>
      <c r="F5" s="8">
        <f t="shared" si="4"/>
        <v>0.13273259742572741</v>
      </c>
      <c r="G5" s="7">
        <v>1572774.97</v>
      </c>
      <c r="H5" s="9">
        <f t="shared" si="5"/>
        <v>0.45234012950928415</v>
      </c>
      <c r="I5" s="11">
        <f>(I4/I3)-1</f>
        <v>0.14066039359254678</v>
      </c>
      <c r="K5" s="6" t="s">
        <v>6</v>
      </c>
      <c r="L5" s="7">
        <v>261687.25</v>
      </c>
      <c r="M5" s="7">
        <v>263745.63</v>
      </c>
      <c r="N5" s="8">
        <f t="shared" si="6"/>
        <v>7.8658016391703889E-3</v>
      </c>
      <c r="O5" s="7">
        <v>362071.14</v>
      </c>
      <c r="P5" s="8">
        <f t="shared" si="7"/>
        <v>0.37280431907061362</v>
      </c>
      <c r="Q5" s="7">
        <v>580426.29</v>
      </c>
      <c r="R5" s="8">
        <f t="shared" si="8"/>
        <v>0.6030725066902598</v>
      </c>
      <c r="T5" s="6" t="s">
        <v>6</v>
      </c>
      <c r="U5" s="7">
        <f t="shared" si="0"/>
        <v>1076869.27</v>
      </c>
      <c r="V5" s="7">
        <f t="shared" si="0"/>
        <v>1412954.53</v>
      </c>
      <c r="W5" s="8">
        <f t="shared" si="9"/>
        <v>0.3120947633690021</v>
      </c>
      <c r="X5" s="7">
        <f t="shared" si="1"/>
        <v>1598767.29</v>
      </c>
      <c r="Y5" s="8">
        <f t="shared" si="10"/>
        <v>0.13150653899669362</v>
      </c>
      <c r="Z5" s="7">
        <f t="shared" si="2"/>
        <v>2664756.37</v>
      </c>
      <c r="AA5" s="8">
        <f t="shared" si="11"/>
        <v>0.6667568736660856</v>
      </c>
      <c r="AB5" s="12">
        <f>(AB4/AB3)-1</f>
        <v>0.30595913275917708</v>
      </c>
    </row>
    <row r="6" spans="1:28">
      <c r="A6" s="6" t="s">
        <v>7</v>
      </c>
      <c r="B6" s="7">
        <v>719098.33</v>
      </c>
      <c r="C6" s="7">
        <v>909490.22</v>
      </c>
      <c r="D6" s="8">
        <f t="shared" si="3"/>
        <v>0.26476475060093674</v>
      </c>
      <c r="E6" s="7">
        <v>1227366.95</v>
      </c>
      <c r="F6" s="8">
        <f t="shared" si="4"/>
        <v>0.34951088314066747</v>
      </c>
      <c r="G6" s="7"/>
      <c r="H6" s="9">
        <f t="shared" si="5"/>
        <v>-1</v>
      </c>
      <c r="K6" s="6" t="s">
        <v>7</v>
      </c>
      <c r="L6" s="7">
        <v>200593.35</v>
      </c>
      <c r="M6" s="7">
        <v>278991</v>
      </c>
      <c r="N6" s="8">
        <f t="shared" si="6"/>
        <v>0.39082875877988976</v>
      </c>
      <c r="O6" s="7">
        <v>435277.46</v>
      </c>
      <c r="P6" s="8">
        <f t="shared" si="7"/>
        <v>0.56018459376825791</v>
      </c>
      <c r="Q6" s="7"/>
      <c r="R6" s="8">
        <f t="shared" si="8"/>
        <v>-1</v>
      </c>
      <c r="T6" s="6" t="s">
        <v>7</v>
      </c>
      <c r="U6" s="7">
        <f t="shared" si="0"/>
        <v>894395.78</v>
      </c>
      <c r="V6" s="7">
        <f t="shared" si="0"/>
        <v>1364607.02</v>
      </c>
      <c r="W6" s="8">
        <f t="shared" si="9"/>
        <v>0.52573061111715003</v>
      </c>
      <c r="X6" s="7">
        <f t="shared" si="1"/>
        <v>1789599.48</v>
      </c>
      <c r="Y6" s="8">
        <f t="shared" si="10"/>
        <v>0.31143945016492736</v>
      </c>
      <c r="Z6" s="7">
        <f t="shared" si="2"/>
        <v>0</v>
      </c>
      <c r="AA6" s="8">
        <f t="shared" si="11"/>
        <v>-1</v>
      </c>
    </row>
    <row r="7" spans="1:28">
      <c r="A7" s="6" t="s">
        <v>8</v>
      </c>
      <c r="B7" s="7">
        <v>834197.18</v>
      </c>
      <c r="C7" s="7">
        <v>1046494.17</v>
      </c>
      <c r="D7" s="8">
        <f t="shared" si="3"/>
        <v>0.25449257692288052</v>
      </c>
      <c r="E7" s="7">
        <v>1615796.75</v>
      </c>
      <c r="F7" s="8">
        <f t="shared" si="4"/>
        <v>0.54400931827455845</v>
      </c>
      <c r="G7" s="7"/>
      <c r="H7" s="9">
        <f t="shared" si="5"/>
        <v>-1</v>
      </c>
      <c r="K7" s="6" t="s">
        <v>8</v>
      </c>
      <c r="L7" s="7">
        <v>297904.40000000002</v>
      </c>
      <c r="M7" s="7">
        <v>364653.4</v>
      </c>
      <c r="N7" s="8">
        <f t="shared" si="6"/>
        <v>0.22406181311857098</v>
      </c>
      <c r="O7" s="7">
        <v>545324.57999999996</v>
      </c>
      <c r="P7" s="8">
        <f t="shared" si="7"/>
        <v>0.49546001764963643</v>
      </c>
      <c r="Q7" s="7"/>
      <c r="R7" s="8">
        <f t="shared" si="8"/>
        <v>-1</v>
      </c>
      <c r="T7" s="6" t="s">
        <v>8</v>
      </c>
      <c r="U7" s="7">
        <f t="shared" si="0"/>
        <v>1096987.1800000002</v>
      </c>
      <c r="V7" s="7">
        <f t="shared" si="0"/>
        <v>1384653.67</v>
      </c>
      <c r="W7" s="8">
        <f t="shared" si="9"/>
        <v>0.26223322865085774</v>
      </c>
      <c r="X7" s="7">
        <f t="shared" si="1"/>
        <v>2191394.29</v>
      </c>
      <c r="Y7" s="8">
        <f t="shared" si="10"/>
        <v>0.58262989329310066</v>
      </c>
      <c r="Z7" s="7">
        <f t="shared" si="2"/>
        <v>0</v>
      </c>
      <c r="AA7" s="8">
        <f t="shared" si="11"/>
        <v>-1</v>
      </c>
    </row>
    <row r="8" spans="1:28">
      <c r="A8" s="6" t="s">
        <v>9</v>
      </c>
      <c r="B8" s="7">
        <v>860199.8</v>
      </c>
      <c r="C8" s="7">
        <v>1051037.45</v>
      </c>
      <c r="D8" s="8">
        <f t="shared" si="3"/>
        <v>0.22185270212804031</v>
      </c>
      <c r="E8" s="7">
        <v>1367010.25</v>
      </c>
      <c r="F8" s="8">
        <f t="shared" si="4"/>
        <v>0.30062943998808045</v>
      </c>
      <c r="G8" s="7"/>
      <c r="H8" s="9">
        <f t="shared" si="5"/>
        <v>-1</v>
      </c>
      <c r="K8" s="6" t="s">
        <v>9</v>
      </c>
      <c r="L8" s="7">
        <v>250654.8</v>
      </c>
      <c r="M8" s="7">
        <v>313490.5</v>
      </c>
      <c r="N8" s="8">
        <f t="shared" si="6"/>
        <v>0.25068620269789377</v>
      </c>
      <c r="O8" s="7">
        <v>369492.03</v>
      </c>
      <c r="P8" s="8">
        <f t="shared" si="7"/>
        <v>0.17863868283089923</v>
      </c>
      <c r="Q8" s="7"/>
      <c r="R8" s="8">
        <f t="shared" si="8"/>
        <v>-1</v>
      </c>
      <c r="T8" s="6" t="s">
        <v>9</v>
      </c>
      <c r="U8" s="7">
        <f t="shared" si="0"/>
        <v>1099273.8</v>
      </c>
      <c r="V8" s="7">
        <f t="shared" si="0"/>
        <v>1443700.45</v>
      </c>
      <c r="W8" s="8">
        <f t="shared" si="9"/>
        <v>0.31332198584192583</v>
      </c>
      <c r="X8" s="7">
        <f t="shared" si="1"/>
        <v>2027584.05</v>
      </c>
      <c r="Y8" s="8">
        <f t="shared" si="10"/>
        <v>0.40443542148927092</v>
      </c>
      <c r="Z8" s="7">
        <f t="shared" si="2"/>
        <v>0</v>
      </c>
      <c r="AA8" s="8">
        <f t="shared" si="11"/>
        <v>-1</v>
      </c>
    </row>
    <row r="9" spans="1:28">
      <c r="A9" s="6" t="s">
        <v>10</v>
      </c>
      <c r="B9" s="7">
        <v>869255.59</v>
      </c>
      <c r="C9" s="7">
        <v>1158229.74</v>
      </c>
      <c r="D9" s="8">
        <f t="shared" si="3"/>
        <v>0.33243864442677906</v>
      </c>
      <c r="E9" s="7">
        <v>1845521.02</v>
      </c>
      <c r="F9" s="8">
        <f t="shared" si="4"/>
        <v>0.59339805935219725</v>
      </c>
      <c r="G9" s="7"/>
      <c r="H9" s="9">
        <f t="shared" si="5"/>
        <v>-1</v>
      </c>
      <c r="K9" s="6" t="s">
        <v>10</v>
      </c>
      <c r="L9" s="7">
        <v>244664.65</v>
      </c>
      <c r="M9" s="7">
        <v>353014.65</v>
      </c>
      <c r="N9" s="8">
        <f t="shared" si="6"/>
        <v>0.44285106164703425</v>
      </c>
      <c r="O9" s="7">
        <v>497775.81</v>
      </c>
      <c r="P9" s="8">
        <f t="shared" si="7"/>
        <v>0.41007125341681983</v>
      </c>
      <c r="Q9" s="7"/>
      <c r="R9" s="8">
        <f t="shared" si="8"/>
        <v>-1</v>
      </c>
      <c r="T9" s="6" t="s">
        <v>10</v>
      </c>
      <c r="U9" s="7">
        <f t="shared" si="0"/>
        <v>1068383.5899999999</v>
      </c>
      <c r="V9" s="7">
        <f t="shared" si="0"/>
        <v>1576765.24</v>
      </c>
      <c r="W9" s="8">
        <f t="shared" si="9"/>
        <v>0.47584187435900271</v>
      </c>
      <c r="X9" s="7">
        <f t="shared" si="1"/>
        <v>2599912.41</v>
      </c>
      <c r="Y9" s="8">
        <f t="shared" si="10"/>
        <v>0.64888998314042001</v>
      </c>
      <c r="Z9" s="7">
        <f t="shared" si="2"/>
        <v>0</v>
      </c>
      <c r="AA9" s="8">
        <f t="shared" si="11"/>
        <v>-1</v>
      </c>
    </row>
    <row r="10" spans="1:28">
      <c r="A10" s="6" t="s">
        <v>11</v>
      </c>
      <c r="B10" s="7">
        <v>912312.1</v>
      </c>
      <c r="C10" s="7">
        <v>1306390.7</v>
      </c>
      <c r="D10" s="8">
        <f t="shared" si="3"/>
        <v>0.43195590631758574</v>
      </c>
      <c r="E10" s="7">
        <v>1611161.13</v>
      </c>
      <c r="F10" s="8">
        <f t="shared" si="4"/>
        <v>0.23329194704157019</v>
      </c>
      <c r="G10" s="7"/>
      <c r="H10" s="9">
        <f t="shared" si="5"/>
        <v>-1</v>
      </c>
      <c r="K10" s="6" t="s">
        <v>11</v>
      </c>
      <c r="L10" s="7">
        <v>245685.6</v>
      </c>
      <c r="M10" s="7">
        <v>380055.24</v>
      </c>
      <c r="N10" s="8">
        <f t="shared" si="6"/>
        <v>0.54691703543064785</v>
      </c>
      <c r="O10" s="7">
        <v>476941.01</v>
      </c>
      <c r="P10" s="8">
        <f t="shared" si="7"/>
        <v>0.25492549451495528</v>
      </c>
      <c r="Q10" s="7"/>
      <c r="R10" s="8">
        <f t="shared" si="8"/>
        <v>-1</v>
      </c>
      <c r="T10" s="6" t="s">
        <v>11</v>
      </c>
      <c r="U10" s="7">
        <f t="shared" si="0"/>
        <v>1182722.1000000001</v>
      </c>
      <c r="V10" s="7">
        <f t="shared" si="0"/>
        <v>1795451.7999999998</v>
      </c>
      <c r="W10" s="8">
        <f t="shared" si="9"/>
        <v>0.51806734650515085</v>
      </c>
      <c r="X10" s="7">
        <f t="shared" si="1"/>
        <v>2439571.5499999998</v>
      </c>
      <c r="Y10" s="8">
        <f t="shared" si="10"/>
        <v>0.35875078907715596</v>
      </c>
      <c r="Z10" s="7">
        <f t="shared" si="2"/>
        <v>0</v>
      </c>
      <c r="AA10" s="8">
        <f t="shared" si="11"/>
        <v>-1</v>
      </c>
    </row>
    <row r="11" spans="1:28">
      <c r="A11" s="6" t="s">
        <v>12</v>
      </c>
      <c r="B11" s="7">
        <v>674923.23</v>
      </c>
      <c r="C11" s="7">
        <v>1229319.82</v>
      </c>
      <c r="D11" s="8">
        <f t="shared" si="3"/>
        <v>0.82142170451000784</v>
      </c>
      <c r="E11" s="7">
        <v>1280608.7</v>
      </c>
      <c r="F11" s="8">
        <f t="shared" si="4"/>
        <v>4.1721347989004176E-2</v>
      </c>
      <c r="G11" s="7"/>
      <c r="H11" s="9">
        <f t="shared" si="5"/>
        <v>-1</v>
      </c>
      <c r="K11" s="6" t="s">
        <v>12</v>
      </c>
      <c r="L11" s="7">
        <v>206987.23</v>
      </c>
      <c r="M11" s="7">
        <v>345745.86</v>
      </c>
      <c r="N11" s="8">
        <f t="shared" si="6"/>
        <v>0.67037290174857622</v>
      </c>
      <c r="O11" s="7">
        <v>457277.35</v>
      </c>
      <c r="P11" s="8">
        <f t="shared" si="7"/>
        <v>0.32258228630705799</v>
      </c>
      <c r="Q11" s="7"/>
      <c r="R11" s="8">
        <f t="shared" si="8"/>
        <v>-1</v>
      </c>
      <c r="T11" s="6" t="s">
        <v>12</v>
      </c>
      <c r="U11" s="7">
        <f t="shared" si="0"/>
        <v>916905.03</v>
      </c>
      <c r="V11" s="7">
        <f t="shared" si="0"/>
        <v>1696112.83</v>
      </c>
      <c r="W11" s="8">
        <f t="shared" si="9"/>
        <v>0.84982389070327158</v>
      </c>
      <c r="X11" s="7">
        <f t="shared" si="1"/>
        <v>2012291.2</v>
      </c>
      <c r="Y11" s="8">
        <f t="shared" si="10"/>
        <v>0.18641352415216383</v>
      </c>
      <c r="Z11" s="7">
        <f t="shared" si="2"/>
        <v>0</v>
      </c>
      <c r="AA11" s="8">
        <f t="shared" si="11"/>
        <v>-1</v>
      </c>
    </row>
    <row r="12" spans="1:28">
      <c r="A12" s="6" t="s">
        <v>13</v>
      </c>
      <c r="B12" s="7">
        <v>922475.25</v>
      </c>
      <c r="C12" s="7">
        <v>1370598.44</v>
      </c>
      <c r="D12" s="8">
        <f t="shared" si="3"/>
        <v>0.48578342887790216</v>
      </c>
      <c r="E12" s="7">
        <v>1653320.73</v>
      </c>
      <c r="F12" s="8">
        <f t="shared" si="4"/>
        <v>0.20627652983466116</v>
      </c>
      <c r="G12" s="7"/>
      <c r="H12" s="9">
        <f t="shared" si="5"/>
        <v>-1</v>
      </c>
      <c r="K12" s="6" t="s">
        <v>13</v>
      </c>
      <c r="L12" s="7">
        <v>233278.7</v>
      </c>
      <c r="M12" s="7">
        <v>442826.25</v>
      </c>
      <c r="N12" s="8">
        <f t="shared" si="6"/>
        <v>0.89827125236894734</v>
      </c>
      <c r="O12" s="7">
        <v>461376.67</v>
      </c>
      <c r="P12" s="8">
        <f t="shared" si="7"/>
        <v>4.1890967394096368E-2</v>
      </c>
      <c r="Q12" s="7"/>
      <c r="R12" s="8">
        <f t="shared" si="8"/>
        <v>-1</v>
      </c>
      <c r="T12" s="6" t="s">
        <v>13</v>
      </c>
      <c r="U12" s="7">
        <f t="shared" si="0"/>
        <v>1160333.25</v>
      </c>
      <c r="V12" s="7">
        <f t="shared" si="0"/>
        <v>1936945.24</v>
      </c>
      <c r="W12" s="8">
        <f t="shared" si="9"/>
        <v>0.66930081508911332</v>
      </c>
      <c r="X12" s="7">
        <f t="shared" si="1"/>
        <v>2496221.75</v>
      </c>
      <c r="Y12" s="8">
        <f t="shared" si="10"/>
        <v>0.28874151857798513</v>
      </c>
      <c r="Z12" s="7">
        <f t="shared" si="2"/>
        <v>0</v>
      </c>
      <c r="AA12" s="8">
        <f t="shared" si="11"/>
        <v>-1</v>
      </c>
    </row>
    <row r="13" spans="1:28">
      <c r="A13" s="6" t="s">
        <v>14</v>
      </c>
      <c r="B13" s="7">
        <v>841306</v>
      </c>
      <c r="C13" s="7">
        <v>1243422.21</v>
      </c>
      <c r="D13" s="8">
        <f t="shared" si="3"/>
        <v>0.47796664947117939</v>
      </c>
      <c r="E13" s="7">
        <v>1582621.57</v>
      </c>
      <c r="F13" s="8">
        <f t="shared" si="4"/>
        <v>0.27279499857091993</v>
      </c>
      <c r="G13" s="7"/>
      <c r="H13" s="9">
        <f t="shared" si="5"/>
        <v>-1</v>
      </c>
      <c r="K13" s="6" t="s">
        <v>14</v>
      </c>
      <c r="L13" s="7">
        <v>235316.8</v>
      </c>
      <c r="M13" s="7">
        <v>383382.21</v>
      </c>
      <c r="N13" s="8">
        <f t="shared" si="6"/>
        <v>0.62921733594881468</v>
      </c>
      <c r="O13" s="7">
        <v>370215.82</v>
      </c>
      <c r="P13" s="8">
        <f t="shared" si="7"/>
        <v>-3.4342725501008586E-2</v>
      </c>
      <c r="Q13" s="7"/>
      <c r="R13" s="8">
        <f t="shared" si="8"/>
        <v>-1</v>
      </c>
      <c r="T13" s="6" t="s">
        <v>14</v>
      </c>
      <c r="U13" s="7">
        <f t="shared" si="0"/>
        <v>1145702</v>
      </c>
      <c r="V13" s="7">
        <f t="shared" si="0"/>
        <v>1668151.21</v>
      </c>
      <c r="W13" s="8">
        <f t="shared" si="9"/>
        <v>0.45600794098290831</v>
      </c>
      <c r="X13" s="7">
        <f t="shared" si="1"/>
        <v>2414390.84</v>
      </c>
      <c r="Y13" s="8">
        <f t="shared" si="10"/>
        <v>0.44734531589615312</v>
      </c>
      <c r="Z13" s="7">
        <f t="shared" si="2"/>
        <v>0</v>
      </c>
      <c r="AA13" s="8">
        <f t="shared" si="11"/>
        <v>-1</v>
      </c>
    </row>
    <row r="14" spans="1:28">
      <c r="A14" s="6" t="s">
        <v>15</v>
      </c>
      <c r="B14" s="7">
        <v>1028193.82</v>
      </c>
      <c r="C14" s="7">
        <v>1219906.8600000001</v>
      </c>
      <c r="D14" s="8">
        <f t="shared" si="3"/>
        <v>0.18645612944843437</v>
      </c>
      <c r="E14" s="7">
        <v>1419497.72</v>
      </c>
      <c r="F14" s="8">
        <f t="shared" si="4"/>
        <v>0.16361155637734504</v>
      </c>
      <c r="G14" s="7"/>
      <c r="H14" s="9">
        <f t="shared" si="5"/>
        <v>-1</v>
      </c>
      <c r="K14" s="6" t="s">
        <v>15</v>
      </c>
      <c r="L14" s="7">
        <v>341371.6</v>
      </c>
      <c r="M14" s="7">
        <v>430103.02</v>
      </c>
      <c r="N14" s="8">
        <f t="shared" si="6"/>
        <v>0.25992619186833354</v>
      </c>
      <c r="O14" s="7">
        <v>440411.37</v>
      </c>
      <c r="P14" s="8">
        <f t="shared" si="7"/>
        <v>2.3967164889937331E-2</v>
      </c>
      <c r="Q14" s="7"/>
      <c r="R14" s="8">
        <f t="shared" si="8"/>
        <v>-1</v>
      </c>
      <c r="T14" s="6" t="s">
        <v>15</v>
      </c>
      <c r="U14" s="7">
        <f t="shared" si="0"/>
        <v>1316198.8199999998</v>
      </c>
      <c r="V14" s="7">
        <f t="shared" si="0"/>
        <v>1745698.37</v>
      </c>
      <c r="W14" s="8">
        <f t="shared" si="9"/>
        <v>0.32631813938262022</v>
      </c>
      <c r="X14" s="7">
        <f t="shared" si="1"/>
        <v>2320938.02</v>
      </c>
      <c r="Y14" s="8">
        <f t="shared" si="10"/>
        <v>0.32951835201633362</v>
      </c>
      <c r="Z14" s="7">
        <f t="shared" si="2"/>
        <v>0</v>
      </c>
      <c r="AA14" s="8">
        <f t="shared" si="11"/>
        <v>-1</v>
      </c>
    </row>
    <row r="15" spans="1:28">
      <c r="A15" s="6" t="s">
        <v>16</v>
      </c>
      <c r="B15" s="7">
        <f>SUM(B3:B14)</f>
        <v>10027507.310000001</v>
      </c>
      <c r="C15" s="7">
        <f>SUM(C3:C14)</f>
        <v>13160972.640000001</v>
      </c>
      <c r="D15" s="8">
        <f t="shared" si="3"/>
        <v>0.31248696541713117</v>
      </c>
      <c r="E15" s="7">
        <f>SUM(E3:E14)</f>
        <v>17266412.199999999</v>
      </c>
      <c r="F15" s="8">
        <f t="shared" si="4"/>
        <v>0.31194043725327569</v>
      </c>
      <c r="G15" s="7">
        <f>SUM(G3:G14)</f>
        <v>4178817.7699999996</v>
      </c>
      <c r="H15" s="9">
        <f t="shared" si="5"/>
        <v>-0.75797996007531898</v>
      </c>
      <c r="K15" s="6" t="s">
        <v>16</v>
      </c>
      <c r="L15" s="7">
        <f>SUM(L3:L14)</f>
        <v>3072860.58</v>
      </c>
      <c r="M15" s="7">
        <f>SUM(M3:M14)</f>
        <v>4071942.5599999996</v>
      </c>
      <c r="N15" s="8">
        <f t="shared" si="6"/>
        <v>0.32513091758949875</v>
      </c>
      <c r="O15" s="7">
        <f>SUM(O3:O14)</f>
        <v>5209890.7800000012</v>
      </c>
      <c r="P15" s="8">
        <f t="shared" si="7"/>
        <v>0.27946077412251169</v>
      </c>
      <c r="Q15" s="7">
        <f>SUM(Q3:Q14)</f>
        <v>1443888.87</v>
      </c>
      <c r="R15" s="8">
        <f t="shared" si="8"/>
        <v>-0.72285621120065024</v>
      </c>
      <c r="T15" s="6" t="s">
        <v>17</v>
      </c>
      <c r="U15" s="7">
        <f>SUM(U3:U14)</f>
        <v>12762043.560000001</v>
      </c>
      <c r="V15" s="7">
        <f>SUM(V3:V14)</f>
        <v>18329462.360000003</v>
      </c>
      <c r="W15" s="8">
        <f t="shared" si="9"/>
        <v>0.43624822104901217</v>
      </c>
      <c r="X15" s="7">
        <f>SUM(X3:X14)</f>
        <v>25605130.41</v>
      </c>
      <c r="Y15" s="8">
        <f t="shared" si="10"/>
        <v>0.39693843207739321</v>
      </c>
      <c r="Z15" s="7">
        <f>SUM(Z3:Z14)</f>
        <v>6938857.0900000008</v>
      </c>
      <c r="AA15" s="8">
        <f t="shared" si="11"/>
        <v>-0.7290052040785524</v>
      </c>
    </row>
    <row r="17" spans="1:27" ht="18">
      <c r="E17" s="1" t="s">
        <v>20</v>
      </c>
      <c r="F17" s="1"/>
      <c r="M17" s="1" t="s">
        <v>22</v>
      </c>
      <c r="N17" s="1"/>
      <c r="O17" s="1"/>
      <c r="P17" s="1"/>
    </row>
    <row r="18" spans="1:27" ht="18">
      <c r="A18" s="13" t="s">
        <v>18</v>
      </c>
      <c r="B18" s="13">
        <v>2023</v>
      </c>
      <c r="C18" s="13">
        <v>2024</v>
      </c>
      <c r="D18" s="13" t="s">
        <v>1</v>
      </c>
      <c r="E18" s="13">
        <v>2025</v>
      </c>
      <c r="F18" s="13" t="s">
        <v>1</v>
      </c>
      <c r="G18" s="13">
        <v>2026</v>
      </c>
      <c r="H18" s="13" t="s">
        <v>1</v>
      </c>
      <c r="I18" s="13" t="s">
        <v>2</v>
      </c>
      <c r="K18" s="13" t="s">
        <v>18</v>
      </c>
      <c r="L18" s="13">
        <v>2023</v>
      </c>
      <c r="M18" s="13">
        <v>2024</v>
      </c>
      <c r="N18" s="13" t="s">
        <v>1</v>
      </c>
      <c r="O18" s="13">
        <v>2025</v>
      </c>
      <c r="P18" s="13" t="s">
        <v>1</v>
      </c>
      <c r="Q18" s="13">
        <v>2026</v>
      </c>
      <c r="R18" s="13" t="s">
        <v>1</v>
      </c>
      <c r="V18" s="1" t="s">
        <v>25</v>
      </c>
      <c r="W18" s="1"/>
      <c r="X18" s="1" t="s">
        <v>26</v>
      </c>
      <c r="Y18" s="1"/>
    </row>
    <row r="19" spans="1:27">
      <c r="A19" s="6" t="s">
        <v>4</v>
      </c>
      <c r="B19" s="7">
        <v>160204</v>
      </c>
      <c r="C19" s="7">
        <v>300250</v>
      </c>
      <c r="D19" s="8">
        <f>(C19/B19)-1</f>
        <v>0.87417292951486858</v>
      </c>
      <c r="E19" s="7">
        <v>541621</v>
      </c>
      <c r="F19" s="8">
        <f>(E19/C19)-1</f>
        <v>0.80390008326394669</v>
      </c>
      <c r="G19" s="7">
        <v>818735.6</v>
      </c>
      <c r="H19" s="8">
        <f>(G19/E19)-1</f>
        <v>0.5116393197457263</v>
      </c>
      <c r="I19" s="7">
        <f>(E19+E20+E21)</f>
        <v>1649719.44</v>
      </c>
      <c r="K19" s="6" t="s">
        <v>4</v>
      </c>
      <c r="L19" s="7">
        <v>54234</v>
      </c>
      <c r="M19" s="7">
        <v>113845</v>
      </c>
      <c r="N19" s="8">
        <f>(M19/L19)-1</f>
        <v>1.0991444481321682</v>
      </c>
      <c r="O19" s="7">
        <v>196960</v>
      </c>
      <c r="P19" s="8">
        <f>(O19/M19)-1</f>
        <v>0.73007158856339771</v>
      </c>
      <c r="Q19" s="7">
        <v>276049</v>
      </c>
      <c r="R19" s="8">
        <f>(Q19/O19)-1</f>
        <v>0.40154853777416744</v>
      </c>
      <c r="T19" s="5" t="s">
        <v>0</v>
      </c>
      <c r="U19" s="5">
        <v>2023</v>
      </c>
      <c r="V19" s="5">
        <v>2024</v>
      </c>
      <c r="W19" s="5" t="s">
        <v>3</v>
      </c>
      <c r="X19" s="5">
        <v>2025</v>
      </c>
      <c r="Y19" s="5" t="s">
        <v>3</v>
      </c>
      <c r="Z19" s="5">
        <v>2026</v>
      </c>
      <c r="AA19" s="5" t="s">
        <v>3</v>
      </c>
    </row>
    <row r="20" spans="1:27">
      <c r="A20" s="6" t="s">
        <v>5</v>
      </c>
      <c r="B20" s="7">
        <v>114135</v>
      </c>
      <c r="C20" s="7">
        <v>334117.5</v>
      </c>
      <c r="D20" s="8">
        <f t="shared" ref="D20:D31" si="12">(C20/B20)-1</f>
        <v>1.9273886187409648</v>
      </c>
      <c r="E20" s="7">
        <v>592255.82999999996</v>
      </c>
      <c r="F20" s="8">
        <f t="shared" ref="F20:F31" si="13">(E20/C20)-1</f>
        <v>0.77259745448831607</v>
      </c>
      <c r="G20" s="7">
        <v>849322.32</v>
      </c>
      <c r="H20" s="8">
        <f t="shared" ref="H20:H31" si="14">(G20/E20)-1</f>
        <v>0.43404636472721592</v>
      </c>
      <c r="I20" s="7">
        <f>(G19+G20+G21)</f>
        <v>2760039.32</v>
      </c>
      <c r="K20" s="6" t="s">
        <v>5</v>
      </c>
      <c r="L20" s="7">
        <v>72555</v>
      </c>
      <c r="M20" s="7">
        <v>146920</v>
      </c>
      <c r="N20" s="8">
        <f t="shared" ref="N20:N31" si="15">(M20/L20)-1</f>
        <v>1.0249465922403695</v>
      </c>
      <c r="O20" s="7">
        <v>177449</v>
      </c>
      <c r="P20" s="8">
        <f t="shared" ref="P20:P31" si="16">(O20/M20)-1</f>
        <v>0.20779335692894096</v>
      </c>
      <c r="Q20" s="7">
        <v>321808</v>
      </c>
      <c r="R20" s="8">
        <f t="shared" ref="R20:R31" si="17">(Q20/O20)-1</f>
        <v>0.81352388573618328</v>
      </c>
      <c r="T20" s="6" t="s">
        <v>4</v>
      </c>
      <c r="U20" s="7">
        <f t="shared" ref="U20:V31" si="18">(L3+L19)</f>
        <v>373450.7</v>
      </c>
      <c r="V20" s="7">
        <f t="shared" si="18"/>
        <v>408155.5</v>
      </c>
      <c r="W20" s="8">
        <f>(V20/U20)-1</f>
        <v>9.2930070823270539E-2</v>
      </c>
      <c r="X20" s="7">
        <f>(O3+O19)</f>
        <v>637967.75</v>
      </c>
      <c r="Y20" s="8">
        <f>(X20/V20)-1</f>
        <v>0.56305072454003446</v>
      </c>
      <c r="Z20" s="7">
        <f>(Q3+Q19)</f>
        <v>746286.36</v>
      </c>
      <c r="AA20" s="8">
        <f>(Z20/X20)-1</f>
        <v>0.16978696807166194</v>
      </c>
    </row>
    <row r="21" spans="1:27">
      <c r="A21" s="6" t="s">
        <v>6</v>
      </c>
      <c r="B21" s="7">
        <v>241257</v>
      </c>
      <c r="C21" s="7">
        <v>456926</v>
      </c>
      <c r="D21" s="8">
        <f t="shared" si="12"/>
        <v>0.8939388287179233</v>
      </c>
      <c r="E21" s="7">
        <v>515842.61</v>
      </c>
      <c r="F21" s="8">
        <f t="shared" si="13"/>
        <v>0.12894125088088648</v>
      </c>
      <c r="G21" s="7">
        <v>1091981.3999999999</v>
      </c>
      <c r="H21" s="8">
        <f t="shared" si="14"/>
        <v>1.1168887153389675</v>
      </c>
      <c r="I21" s="8">
        <f>(I20/I19)-1</f>
        <v>0.67303557991654617</v>
      </c>
      <c r="K21" s="6" t="s">
        <v>6</v>
      </c>
      <c r="L21" s="7">
        <v>107950</v>
      </c>
      <c r="M21" s="7">
        <v>274170</v>
      </c>
      <c r="N21" s="8">
        <f t="shared" si="15"/>
        <v>1.5397869383974063</v>
      </c>
      <c r="O21" s="7">
        <v>169430</v>
      </c>
      <c r="P21" s="8">
        <f t="shared" si="16"/>
        <v>-0.38202575044680309</v>
      </c>
      <c r="Q21" s="7">
        <v>439626.4</v>
      </c>
      <c r="R21" s="8">
        <f t="shared" si="17"/>
        <v>1.5947376497668655</v>
      </c>
      <c r="T21" s="6" t="s">
        <v>5</v>
      </c>
      <c r="U21" s="7">
        <f t="shared" si="18"/>
        <v>308054.5</v>
      </c>
      <c r="V21" s="7">
        <f t="shared" si="18"/>
        <v>368544.3</v>
      </c>
      <c r="W21" s="8">
        <f t="shared" ref="W21:W32" si="19">(V21/U21)-1</f>
        <v>0.19636070890053547</v>
      </c>
      <c r="X21" s="7">
        <f>(O4+O20)</f>
        <v>530168.79</v>
      </c>
      <c r="Y21" s="8">
        <f t="shared" ref="Y21:Y32" si="20">(X21/V21)-1</f>
        <v>0.43854833733692278</v>
      </c>
      <c r="Z21" s="7">
        <f>(Q4+Q20)</f>
        <v>715033.22</v>
      </c>
      <c r="AA21" s="8">
        <f t="shared" ref="AA21:AA32" si="21">(Z21/X21)-1</f>
        <v>0.34868976349965819</v>
      </c>
    </row>
    <row r="22" spans="1:27">
      <c r="A22" s="6" t="s">
        <v>7</v>
      </c>
      <c r="B22" s="7">
        <v>175297.45</v>
      </c>
      <c r="C22" s="7">
        <v>455116.79999999999</v>
      </c>
      <c r="D22" s="8">
        <f t="shared" si="12"/>
        <v>1.5962545376444437</v>
      </c>
      <c r="E22" s="7">
        <v>562232.53</v>
      </c>
      <c r="F22" s="8">
        <f t="shared" si="13"/>
        <v>0.23535876944116341</v>
      </c>
      <c r="G22" s="7"/>
      <c r="H22" s="8">
        <f t="shared" si="14"/>
        <v>-1</v>
      </c>
      <c r="K22" s="6" t="s">
        <v>7</v>
      </c>
      <c r="L22" s="7">
        <v>93645</v>
      </c>
      <c r="M22" s="7">
        <v>243588.8</v>
      </c>
      <c r="N22" s="8">
        <f t="shared" si="15"/>
        <v>1.6011938704682578</v>
      </c>
      <c r="O22" s="7">
        <v>198695</v>
      </c>
      <c r="P22" s="8">
        <f t="shared" si="16"/>
        <v>-0.18430157708400385</v>
      </c>
      <c r="Q22" s="7"/>
      <c r="R22" s="8">
        <f t="shared" si="17"/>
        <v>-1</v>
      </c>
      <c r="T22" s="6" t="s">
        <v>6</v>
      </c>
      <c r="U22" s="7">
        <f t="shared" si="18"/>
        <v>369637.25</v>
      </c>
      <c r="V22" s="7">
        <f t="shared" si="18"/>
        <v>537915.63</v>
      </c>
      <c r="W22" s="8">
        <f t="shared" si="19"/>
        <v>0.45525276470377385</v>
      </c>
      <c r="X22" s="7">
        <f t="shared" ref="X22:X31" si="22">(O5+O21)</f>
        <v>531501.14</v>
      </c>
      <c r="Y22" s="8">
        <f t="shared" si="20"/>
        <v>-1.19247139184262E-2</v>
      </c>
      <c r="Z22" s="7">
        <f t="shared" ref="Z22:Z31" si="23">(Q5+Q21)</f>
        <v>1020052.6900000001</v>
      </c>
      <c r="AA22" s="8">
        <f t="shared" si="21"/>
        <v>0.91919191368056152</v>
      </c>
    </row>
    <row r="23" spans="1:27">
      <c r="A23" s="6" t="s">
        <v>8</v>
      </c>
      <c r="B23" s="7">
        <v>262790</v>
      </c>
      <c r="C23" s="7">
        <v>338159.5</v>
      </c>
      <c r="D23" s="8">
        <f t="shared" si="12"/>
        <v>0.28680505346474372</v>
      </c>
      <c r="E23" s="7">
        <v>575597.54</v>
      </c>
      <c r="F23" s="8">
        <f t="shared" si="13"/>
        <v>0.70214806918037209</v>
      </c>
      <c r="G23" s="7"/>
      <c r="H23" s="8">
        <f t="shared" si="14"/>
        <v>-1</v>
      </c>
      <c r="K23" s="6" t="s">
        <v>8</v>
      </c>
      <c r="L23" s="7">
        <v>138670</v>
      </c>
      <c r="M23" s="7">
        <v>158560</v>
      </c>
      <c r="N23" s="8">
        <f t="shared" si="15"/>
        <v>0.14343405206605619</v>
      </c>
      <c r="O23" s="7">
        <v>220778.8</v>
      </c>
      <c r="P23" s="8">
        <f t="shared" si="16"/>
        <v>0.39239909182643795</v>
      </c>
      <c r="Q23" s="7"/>
      <c r="R23" s="8">
        <f t="shared" si="17"/>
        <v>-1</v>
      </c>
      <c r="T23" s="6" t="s">
        <v>7</v>
      </c>
      <c r="U23" s="7">
        <f t="shared" si="18"/>
        <v>294238.34999999998</v>
      </c>
      <c r="V23" s="7">
        <f t="shared" si="18"/>
        <v>522579.8</v>
      </c>
      <c r="W23" s="8">
        <f t="shared" si="19"/>
        <v>0.77604244993896954</v>
      </c>
      <c r="X23" s="7">
        <f t="shared" si="22"/>
        <v>633972.46</v>
      </c>
      <c r="Y23" s="8">
        <f t="shared" si="20"/>
        <v>0.21315913856601409</v>
      </c>
      <c r="Z23" s="7">
        <f t="shared" si="23"/>
        <v>0</v>
      </c>
      <c r="AA23" s="8">
        <f t="shared" si="21"/>
        <v>-1</v>
      </c>
    </row>
    <row r="24" spans="1:27">
      <c r="A24" s="6" t="s">
        <v>9</v>
      </c>
      <c r="B24" s="7">
        <v>239074</v>
      </c>
      <c r="C24" s="7">
        <v>392663</v>
      </c>
      <c r="D24" s="8">
        <f t="shared" si="12"/>
        <v>0.64243288688857847</v>
      </c>
      <c r="E24" s="7">
        <v>660573.80000000005</v>
      </c>
      <c r="F24" s="8">
        <f t="shared" si="13"/>
        <v>0.68229193990775827</v>
      </c>
      <c r="G24" s="7"/>
      <c r="H24" s="8">
        <f t="shared" si="14"/>
        <v>-1</v>
      </c>
      <c r="K24" s="6" t="s">
        <v>9</v>
      </c>
      <c r="L24" s="7">
        <v>104319</v>
      </c>
      <c r="M24" s="7">
        <v>151034</v>
      </c>
      <c r="N24" s="8">
        <f t="shared" si="15"/>
        <v>0.44780912393715422</v>
      </c>
      <c r="O24" s="7">
        <v>243438.8</v>
      </c>
      <c r="P24" s="8">
        <f t="shared" si="16"/>
        <v>0.61181455831137344</v>
      </c>
      <c r="Q24" s="7"/>
      <c r="R24" s="8">
        <f t="shared" si="17"/>
        <v>-1</v>
      </c>
      <c r="T24" s="6" t="s">
        <v>8</v>
      </c>
      <c r="U24" s="7">
        <f t="shared" si="18"/>
        <v>436574.4</v>
      </c>
      <c r="V24" s="7">
        <f t="shared" si="18"/>
        <v>523213.4</v>
      </c>
      <c r="W24" s="8">
        <f t="shared" si="19"/>
        <v>0.19845185608684335</v>
      </c>
      <c r="X24" s="7">
        <f t="shared" si="22"/>
        <v>766103.37999999989</v>
      </c>
      <c r="Y24" s="8">
        <f t="shared" si="20"/>
        <v>0.46422736879445337</v>
      </c>
      <c r="Z24" s="7">
        <f t="shared" si="23"/>
        <v>0</v>
      </c>
      <c r="AA24" s="8">
        <f t="shared" si="21"/>
        <v>-1</v>
      </c>
    </row>
    <row r="25" spans="1:27">
      <c r="A25" s="6" t="s">
        <v>10</v>
      </c>
      <c r="B25" s="7">
        <v>199128</v>
      </c>
      <c r="C25" s="7">
        <v>418535.5</v>
      </c>
      <c r="D25" s="8">
        <f t="shared" si="12"/>
        <v>1.1018415290667312</v>
      </c>
      <c r="E25" s="7">
        <v>754391.39</v>
      </c>
      <c r="F25" s="8">
        <f t="shared" si="13"/>
        <v>0.8024549649910222</v>
      </c>
      <c r="G25" s="7"/>
      <c r="H25" s="8">
        <f t="shared" si="14"/>
        <v>-1</v>
      </c>
      <c r="K25" s="6" t="s">
        <v>10</v>
      </c>
      <c r="L25" s="7">
        <v>72190</v>
      </c>
      <c r="M25" s="7">
        <v>151050</v>
      </c>
      <c r="N25" s="8">
        <f t="shared" si="15"/>
        <v>1.0923950685690538</v>
      </c>
      <c r="O25" s="7">
        <v>238165</v>
      </c>
      <c r="P25" s="8">
        <f t="shared" si="16"/>
        <v>0.57672955974842766</v>
      </c>
      <c r="Q25" s="7"/>
      <c r="R25" s="8">
        <f t="shared" si="17"/>
        <v>-1</v>
      </c>
      <c r="T25" s="6" t="s">
        <v>9</v>
      </c>
      <c r="U25" s="7">
        <f t="shared" si="18"/>
        <v>354973.8</v>
      </c>
      <c r="V25" s="7">
        <f t="shared" si="18"/>
        <v>464524.5</v>
      </c>
      <c r="W25" s="8">
        <f t="shared" si="19"/>
        <v>0.30861629787888578</v>
      </c>
      <c r="X25" s="7">
        <f t="shared" si="22"/>
        <v>612930.83000000007</v>
      </c>
      <c r="Y25" s="8">
        <f t="shared" si="20"/>
        <v>0.31948009200806426</v>
      </c>
      <c r="Z25" s="7">
        <f t="shared" si="23"/>
        <v>0</v>
      </c>
      <c r="AA25" s="8">
        <f t="shared" si="21"/>
        <v>-1</v>
      </c>
    </row>
    <row r="26" spans="1:27">
      <c r="A26" s="6" t="s">
        <v>11</v>
      </c>
      <c r="B26" s="7">
        <v>270410</v>
      </c>
      <c r="C26" s="7">
        <v>489061.1</v>
      </c>
      <c r="D26" s="8">
        <f t="shared" si="12"/>
        <v>0.80859102843829733</v>
      </c>
      <c r="E26" s="7">
        <v>828410.42</v>
      </c>
      <c r="F26" s="8">
        <f t="shared" si="13"/>
        <v>0.69387919014618027</v>
      </c>
      <c r="G26" s="7"/>
      <c r="H26" s="8">
        <f t="shared" si="14"/>
        <v>-1</v>
      </c>
      <c r="K26" s="6" t="s">
        <v>11</v>
      </c>
      <c r="L26" s="7">
        <v>102610</v>
      </c>
      <c r="M26" s="7">
        <v>183210.3</v>
      </c>
      <c r="N26" s="8">
        <f t="shared" si="15"/>
        <v>0.78550141311762967</v>
      </c>
      <c r="O26" s="7">
        <v>242732.6</v>
      </c>
      <c r="P26" s="8">
        <f t="shared" si="16"/>
        <v>0.32488511835852041</v>
      </c>
      <c r="Q26" s="7"/>
      <c r="R26" s="8">
        <f t="shared" si="17"/>
        <v>-1</v>
      </c>
      <c r="T26" s="6" t="s">
        <v>10</v>
      </c>
      <c r="U26" s="7">
        <f t="shared" si="18"/>
        <v>316854.65000000002</v>
      </c>
      <c r="V26" s="7">
        <f t="shared" si="18"/>
        <v>504064.65</v>
      </c>
      <c r="W26" s="8">
        <f t="shared" si="19"/>
        <v>0.59083873315414492</v>
      </c>
      <c r="X26" s="7">
        <f t="shared" si="22"/>
        <v>735940.81</v>
      </c>
      <c r="Y26" s="8">
        <f t="shared" si="20"/>
        <v>0.46001273844535628</v>
      </c>
      <c r="Z26" s="7">
        <f t="shared" si="23"/>
        <v>0</v>
      </c>
      <c r="AA26" s="8">
        <f t="shared" si="21"/>
        <v>-1</v>
      </c>
    </row>
    <row r="27" spans="1:27">
      <c r="A27" s="6" t="s">
        <v>12</v>
      </c>
      <c r="B27" s="7">
        <v>241981.8</v>
      </c>
      <c r="C27" s="7">
        <v>466793.01</v>
      </c>
      <c r="D27" s="8">
        <f t="shared" si="12"/>
        <v>0.92904181223546578</v>
      </c>
      <c r="E27" s="7">
        <v>731682.5</v>
      </c>
      <c r="F27" s="8">
        <f t="shared" si="13"/>
        <v>0.56746670221132911</v>
      </c>
      <c r="G27" s="7"/>
      <c r="H27" s="8">
        <f t="shared" si="14"/>
        <v>-1</v>
      </c>
      <c r="K27" s="6" t="s">
        <v>12</v>
      </c>
      <c r="L27" s="7">
        <v>118558.8</v>
      </c>
      <c r="M27" s="7">
        <v>183433.4</v>
      </c>
      <c r="N27" s="8">
        <f t="shared" si="15"/>
        <v>0.54719346012274062</v>
      </c>
      <c r="O27" s="7">
        <v>216750</v>
      </c>
      <c r="P27" s="8">
        <f t="shared" si="16"/>
        <v>0.18162777334989166</v>
      </c>
      <c r="Q27" s="7"/>
      <c r="R27" s="8">
        <f t="shared" si="17"/>
        <v>-1</v>
      </c>
      <c r="T27" s="6" t="s">
        <v>11</v>
      </c>
      <c r="U27" s="7">
        <f t="shared" si="18"/>
        <v>348295.6</v>
      </c>
      <c r="V27" s="7">
        <f t="shared" si="18"/>
        <v>563265.54</v>
      </c>
      <c r="W27" s="8">
        <f t="shared" si="19"/>
        <v>0.61720544273312683</v>
      </c>
      <c r="X27" s="7">
        <f t="shared" si="22"/>
        <v>719673.61</v>
      </c>
      <c r="Y27" s="8">
        <f t="shared" si="20"/>
        <v>0.27768087854264967</v>
      </c>
      <c r="Z27" s="7">
        <f t="shared" si="23"/>
        <v>0</v>
      </c>
      <c r="AA27" s="8">
        <f t="shared" si="21"/>
        <v>-1</v>
      </c>
    </row>
    <row r="28" spans="1:27">
      <c r="A28" s="6" t="s">
        <v>13</v>
      </c>
      <c r="B28" s="7">
        <v>237858</v>
      </c>
      <c r="C28" s="7">
        <v>566346.80000000005</v>
      </c>
      <c r="D28" s="8">
        <f t="shared" si="12"/>
        <v>1.3810290173128505</v>
      </c>
      <c r="E28" s="7">
        <v>842901.02</v>
      </c>
      <c r="F28" s="8">
        <f t="shared" si="13"/>
        <v>0.48831249686587785</v>
      </c>
      <c r="G28" s="7"/>
      <c r="H28" s="8">
        <f t="shared" si="14"/>
        <v>-1</v>
      </c>
      <c r="K28" s="6" t="s">
        <v>13</v>
      </c>
      <c r="L28" s="7">
        <v>101990</v>
      </c>
      <c r="M28" s="7">
        <v>201088.8</v>
      </c>
      <c r="N28" s="8">
        <f t="shared" si="15"/>
        <v>0.97165212275713286</v>
      </c>
      <c r="O28" s="7">
        <v>219915.8</v>
      </c>
      <c r="P28" s="8">
        <f t="shared" si="16"/>
        <v>9.3625303845863206E-2</v>
      </c>
      <c r="Q28" s="7"/>
      <c r="R28" s="8">
        <f t="shared" si="17"/>
        <v>-1</v>
      </c>
      <c r="T28" s="6" t="s">
        <v>12</v>
      </c>
      <c r="U28" s="7">
        <f t="shared" si="18"/>
        <v>325546.03000000003</v>
      </c>
      <c r="V28" s="7">
        <f t="shared" si="18"/>
        <v>529179.26</v>
      </c>
      <c r="W28" s="8">
        <f t="shared" si="19"/>
        <v>0.62551286526209515</v>
      </c>
      <c r="X28" s="7">
        <f t="shared" si="22"/>
        <v>674027.35</v>
      </c>
      <c r="Y28" s="8">
        <f t="shared" si="20"/>
        <v>0.27372215985940174</v>
      </c>
      <c r="Z28" s="7">
        <f t="shared" si="23"/>
        <v>0</v>
      </c>
      <c r="AA28" s="8">
        <f t="shared" si="21"/>
        <v>-1</v>
      </c>
    </row>
    <row r="29" spans="1:27">
      <c r="A29" s="6" t="s">
        <v>14</v>
      </c>
      <c r="B29" s="7">
        <v>304396</v>
      </c>
      <c r="C29" s="7">
        <v>424729</v>
      </c>
      <c r="D29" s="8">
        <f t="shared" si="12"/>
        <v>0.39531728406417965</v>
      </c>
      <c r="E29" s="7">
        <v>831769.27</v>
      </c>
      <c r="F29" s="8">
        <f t="shared" si="13"/>
        <v>0.95835290267441131</v>
      </c>
      <c r="G29" s="7"/>
      <c r="H29" s="8">
        <f t="shared" si="14"/>
        <v>-1</v>
      </c>
      <c r="K29" s="6" t="s">
        <v>14</v>
      </c>
      <c r="L29" s="7">
        <v>93991</v>
      </c>
      <c r="M29" s="7">
        <v>156535</v>
      </c>
      <c r="N29" s="8">
        <f t="shared" si="15"/>
        <v>0.6654254130714643</v>
      </c>
      <c r="O29" s="7">
        <v>210868.8</v>
      </c>
      <c r="P29" s="8">
        <f t="shared" si="16"/>
        <v>0.3471032037563484</v>
      </c>
      <c r="Q29" s="7"/>
      <c r="R29" s="8">
        <f t="shared" si="17"/>
        <v>-1</v>
      </c>
      <c r="T29" s="6" t="s">
        <v>13</v>
      </c>
      <c r="U29" s="7">
        <f t="shared" si="18"/>
        <v>335268.7</v>
      </c>
      <c r="V29" s="7">
        <f t="shared" si="18"/>
        <v>643915.05000000005</v>
      </c>
      <c r="W29" s="8">
        <f t="shared" si="19"/>
        <v>0.92059398923907909</v>
      </c>
      <c r="X29" s="7">
        <f t="shared" si="22"/>
        <v>681292.47</v>
      </c>
      <c r="Y29" s="8">
        <f t="shared" si="20"/>
        <v>5.80471290428759E-2</v>
      </c>
      <c r="Z29" s="7">
        <f t="shared" si="23"/>
        <v>0</v>
      </c>
      <c r="AA29" s="8">
        <f t="shared" si="21"/>
        <v>-1</v>
      </c>
    </row>
    <row r="30" spans="1:27">
      <c r="A30" s="6" t="s">
        <v>15</v>
      </c>
      <c r="B30" s="7">
        <v>288005</v>
      </c>
      <c r="C30" s="7">
        <v>525791.51</v>
      </c>
      <c r="D30" s="8">
        <f t="shared" si="12"/>
        <v>0.82563327025572475</v>
      </c>
      <c r="E30" s="7">
        <v>901440.3</v>
      </c>
      <c r="F30" s="8">
        <f t="shared" si="13"/>
        <v>0.71444438119588516</v>
      </c>
      <c r="G30" s="7"/>
      <c r="H30" s="8">
        <f t="shared" si="14"/>
        <v>-1</v>
      </c>
      <c r="K30" s="6" t="s">
        <v>15</v>
      </c>
      <c r="L30" s="7">
        <v>88520</v>
      </c>
      <c r="M30" s="7">
        <v>194590</v>
      </c>
      <c r="N30" s="8">
        <f t="shared" si="15"/>
        <v>1.1982602801626752</v>
      </c>
      <c r="O30" s="7">
        <v>380016.8</v>
      </c>
      <c r="P30" s="8">
        <f t="shared" si="16"/>
        <v>0.95291022149134075</v>
      </c>
      <c r="Q30" s="7"/>
      <c r="R30" s="8">
        <f t="shared" si="17"/>
        <v>-1</v>
      </c>
      <c r="T30" s="6" t="s">
        <v>14</v>
      </c>
      <c r="U30" s="7">
        <f t="shared" si="18"/>
        <v>329307.8</v>
      </c>
      <c r="V30" s="7">
        <f t="shared" si="18"/>
        <v>539917.21</v>
      </c>
      <c r="W30" s="8">
        <f t="shared" si="19"/>
        <v>0.63955184177234781</v>
      </c>
      <c r="X30" s="7">
        <f t="shared" si="22"/>
        <v>581084.62</v>
      </c>
      <c r="Y30" s="8">
        <f t="shared" si="20"/>
        <v>7.624763433638293E-2</v>
      </c>
      <c r="Z30" s="7">
        <f t="shared" si="23"/>
        <v>0</v>
      </c>
      <c r="AA30" s="8">
        <f t="shared" si="21"/>
        <v>-1</v>
      </c>
    </row>
    <row r="31" spans="1:27">
      <c r="A31" s="6" t="s">
        <v>16</v>
      </c>
      <c r="B31" s="7">
        <f>SUM(B19:B30)</f>
        <v>2734536.25</v>
      </c>
      <c r="C31" s="7">
        <f>SUM(C19:C30)</f>
        <v>5168489.72</v>
      </c>
      <c r="D31" s="8">
        <f t="shared" si="12"/>
        <v>0.89007906550882243</v>
      </c>
      <c r="E31" s="7">
        <f>SUM(E19:E30)</f>
        <v>8338718.2099999981</v>
      </c>
      <c r="F31" s="8">
        <f t="shared" si="13"/>
        <v>0.61337618177559206</v>
      </c>
      <c r="G31" s="7">
        <f>SUM(G19:G30)</f>
        <v>2760039.32</v>
      </c>
      <c r="H31" s="8">
        <f t="shared" si="14"/>
        <v>-0.66900916298021773</v>
      </c>
      <c r="K31" s="6" t="s">
        <v>16</v>
      </c>
      <c r="L31" s="7">
        <f>SUM(L19:L30)</f>
        <v>1149232.8</v>
      </c>
      <c r="M31" s="7">
        <f>SUM(M19:M30)</f>
        <v>2158025.2999999998</v>
      </c>
      <c r="N31" s="8">
        <f t="shared" si="15"/>
        <v>0.87779647430877339</v>
      </c>
      <c r="O31" s="7">
        <f>SUM(O19:O30)</f>
        <v>2715200.5999999996</v>
      </c>
      <c r="P31" s="8">
        <f t="shared" si="16"/>
        <v>0.25818756619767158</v>
      </c>
      <c r="Q31" s="7">
        <f>SUM(Q19:Q30)</f>
        <v>1037483.4</v>
      </c>
      <c r="R31" s="8">
        <f t="shared" si="17"/>
        <v>-0.61789806616866527</v>
      </c>
      <c r="T31" s="6" t="s">
        <v>15</v>
      </c>
      <c r="U31" s="7">
        <f t="shared" si="18"/>
        <v>429891.6</v>
      </c>
      <c r="V31" s="7">
        <f t="shared" si="18"/>
        <v>624693.02</v>
      </c>
      <c r="W31" s="8">
        <f t="shared" si="19"/>
        <v>0.4531407917716932</v>
      </c>
      <c r="X31" s="7">
        <f t="shared" si="22"/>
        <v>820428.16999999993</v>
      </c>
      <c r="Y31" s="8">
        <f t="shared" si="20"/>
        <v>0.31333013773709184</v>
      </c>
      <c r="Z31" s="7">
        <f t="shared" si="23"/>
        <v>0</v>
      </c>
      <c r="AA31" s="8">
        <f t="shared" si="21"/>
        <v>-1</v>
      </c>
    </row>
    <row r="32" spans="1:27">
      <c r="T32" s="6" t="s">
        <v>16</v>
      </c>
      <c r="U32" s="7">
        <f>SUM(U20:U31)</f>
        <v>4222093.379999999</v>
      </c>
      <c r="V32" s="7">
        <f>SUM(V20:V31)</f>
        <v>6229967.8599999994</v>
      </c>
      <c r="W32" s="8">
        <f t="shared" si="19"/>
        <v>0.47556373089976534</v>
      </c>
      <c r="X32" s="7">
        <f>SUM(X20:X31)</f>
        <v>7925091.3799999999</v>
      </c>
      <c r="Y32" s="8">
        <f t="shared" si="20"/>
        <v>0.27209185634546773</v>
      </c>
      <c r="Z32" s="7">
        <f>SUM(Z20:Z31)</f>
        <v>2481372.27</v>
      </c>
      <c r="AA32" s="8">
        <f t="shared" si="21"/>
        <v>-0.68689669922771279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CD481-532E-4F35-B4A9-47C451ABD8E3}">
  <dimension ref="A1:E25"/>
  <sheetViews>
    <sheetView workbookViewId="0">
      <selection activeCell="C20" sqref="C20"/>
    </sheetView>
  </sheetViews>
  <sheetFormatPr defaultRowHeight="14.25"/>
  <cols>
    <col min="1" max="1" width="13.875" bestFit="1" customWidth="1"/>
    <col min="2" max="2" width="25.125" bestFit="1" customWidth="1"/>
    <col min="4" max="4" width="13.875" bestFit="1" customWidth="1"/>
    <col min="5" max="5" width="19.125" bestFit="1" customWidth="1"/>
  </cols>
  <sheetData>
    <row r="1" spans="1:5">
      <c r="A1" s="6" t="s">
        <v>27</v>
      </c>
      <c r="B1" s="6" t="s">
        <v>28</v>
      </c>
      <c r="D1" s="6" t="s">
        <v>27</v>
      </c>
      <c r="E1" s="6" t="s">
        <v>29</v>
      </c>
    </row>
    <row r="2" spans="1:5">
      <c r="A2" s="6" t="s">
        <v>30</v>
      </c>
      <c r="B2" s="7">
        <v>548140.92000000004</v>
      </c>
      <c r="D2" s="6" t="s">
        <v>30</v>
      </c>
      <c r="E2" s="7">
        <v>216478.8</v>
      </c>
    </row>
    <row r="3" spans="1:5">
      <c r="A3" s="6" t="s">
        <v>31</v>
      </c>
      <c r="B3" s="7">
        <v>516492</v>
      </c>
      <c r="D3" s="6" t="s">
        <v>32</v>
      </c>
      <c r="E3" s="7">
        <v>197912</v>
      </c>
    </row>
    <row r="4" spans="1:5">
      <c r="A4" s="6" t="s">
        <v>33</v>
      </c>
      <c r="B4" s="7">
        <v>478190.8</v>
      </c>
      <c r="D4" s="6" t="s">
        <v>34</v>
      </c>
      <c r="E4" s="7">
        <v>186425.19999999998</v>
      </c>
    </row>
    <row r="5" spans="1:5">
      <c r="A5" s="6" t="s">
        <v>34</v>
      </c>
      <c r="B5" s="7">
        <v>471954.6</v>
      </c>
      <c r="D5" s="6" t="s">
        <v>33</v>
      </c>
      <c r="E5" s="7">
        <v>157588.79999999999</v>
      </c>
    </row>
    <row r="6" spans="1:5">
      <c r="A6" s="6" t="s">
        <v>35</v>
      </c>
      <c r="B6" s="7">
        <v>455008</v>
      </c>
      <c r="D6" s="6" t="s">
        <v>36</v>
      </c>
      <c r="E6" s="7">
        <v>145640</v>
      </c>
    </row>
    <row r="7" spans="1:5">
      <c r="A7" s="6" t="s">
        <v>37</v>
      </c>
      <c r="B7" s="7">
        <v>383257.8</v>
      </c>
      <c r="D7" s="6" t="s">
        <v>31</v>
      </c>
      <c r="E7" s="7">
        <v>144369</v>
      </c>
    </row>
    <row r="8" spans="1:5">
      <c r="A8" s="6" t="s">
        <v>38</v>
      </c>
      <c r="B8" s="7">
        <v>368371.48</v>
      </c>
      <c r="D8" s="6" t="s">
        <v>35</v>
      </c>
      <c r="E8" s="7">
        <v>130370</v>
      </c>
    </row>
    <row r="9" spans="1:5">
      <c r="A9" s="6" t="s">
        <v>36</v>
      </c>
      <c r="B9" s="7">
        <v>333931.14</v>
      </c>
      <c r="D9" s="6" t="s">
        <v>37</v>
      </c>
      <c r="E9" s="7">
        <v>124640</v>
      </c>
    </row>
    <row r="10" spans="1:5">
      <c r="A10" s="6" t="s">
        <v>39</v>
      </c>
      <c r="B10" s="7">
        <v>333467.34999999998</v>
      </c>
      <c r="D10" s="6" t="s">
        <v>39</v>
      </c>
      <c r="E10" s="7">
        <v>120841.37</v>
      </c>
    </row>
    <row r="11" spans="1:5">
      <c r="A11" s="6" t="s">
        <v>32</v>
      </c>
      <c r="B11" s="7">
        <v>306905</v>
      </c>
      <c r="D11" s="6" t="s">
        <v>40</v>
      </c>
      <c r="E11" s="7">
        <v>106187.6</v>
      </c>
    </row>
    <row r="12" spans="1:5">
      <c r="A12" s="6" t="s">
        <v>41</v>
      </c>
      <c r="B12" s="7">
        <v>291983.90999999997</v>
      </c>
      <c r="D12" s="6" t="s">
        <v>42</v>
      </c>
      <c r="E12" s="7">
        <v>105356.8</v>
      </c>
    </row>
    <row r="13" spans="1:5">
      <c r="A13" s="6" t="s">
        <v>43</v>
      </c>
      <c r="B13" s="7">
        <v>270202</v>
      </c>
      <c r="D13" s="6" t="s">
        <v>43</v>
      </c>
      <c r="E13" s="7">
        <v>98359</v>
      </c>
    </row>
    <row r="14" spans="1:5">
      <c r="A14" s="6" t="s">
        <v>44</v>
      </c>
      <c r="B14" s="7">
        <v>261947.3</v>
      </c>
      <c r="D14" s="6" t="s">
        <v>45</v>
      </c>
      <c r="E14" s="7">
        <v>90445</v>
      </c>
    </row>
    <row r="15" spans="1:5">
      <c r="A15" s="6" t="s">
        <v>46</v>
      </c>
      <c r="B15" s="7">
        <v>254928.8</v>
      </c>
      <c r="D15" s="6" t="s">
        <v>41</v>
      </c>
      <c r="E15" s="7">
        <v>89948.9</v>
      </c>
    </row>
    <row r="16" spans="1:5">
      <c r="A16" s="6" t="s">
        <v>47</v>
      </c>
      <c r="B16" s="7">
        <v>235368.8</v>
      </c>
      <c r="D16" s="6" t="s">
        <v>44</v>
      </c>
      <c r="E16" s="7">
        <v>84878</v>
      </c>
    </row>
    <row r="17" spans="1:5">
      <c r="A17" s="6" t="s">
        <v>45</v>
      </c>
      <c r="B17" s="7">
        <v>229153.6</v>
      </c>
      <c r="D17" s="6" t="s">
        <v>38</v>
      </c>
      <c r="E17" s="7">
        <v>82628.800000000003</v>
      </c>
    </row>
    <row r="18" spans="1:5">
      <c r="A18" s="6" t="s">
        <v>48</v>
      </c>
      <c r="B18" s="7">
        <v>223581.15999999997</v>
      </c>
      <c r="D18" s="6" t="s">
        <v>48</v>
      </c>
      <c r="E18" s="7">
        <v>80096.399999999994</v>
      </c>
    </row>
    <row r="19" spans="1:5">
      <c r="A19" s="6" t="s">
        <v>40</v>
      </c>
      <c r="B19" s="7">
        <v>221285.6</v>
      </c>
      <c r="D19" s="6" t="s">
        <v>49</v>
      </c>
      <c r="E19" s="7">
        <v>71840</v>
      </c>
    </row>
    <row r="20" spans="1:5">
      <c r="A20" s="6" t="s">
        <v>42</v>
      </c>
      <c r="B20" s="7">
        <v>193640.8</v>
      </c>
      <c r="D20" s="6" t="s">
        <v>46</v>
      </c>
      <c r="E20" s="7">
        <v>60318.8</v>
      </c>
    </row>
    <row r="21" spans="1:5">
      <c r="A21" s="6" t="s">
        <v>50</v>
      </c>
      <c r="B21" s="7">
        <v>165582</v>
      </c>
      <c r="D21" s="6" t="s">
        <v>47</v>
      </c>
      <c r="E21" s="7">
        <v>58009</v>
      </c>
    </row>
    <row r="22" spans="1:5">
      <c r="A22" s="6" t="s">
        <v>49</v>
      </c>
      <c r="B22" s="7">
        <v>128755</v>
      </c>
      <c r="D22" s="6" t="s">
        <v>50</v>
      </c>
      <c r="E22" s="7">
        <v>53210</v>
      </c>
    </row>
    <row r="23" spans="1:5">
      <c r="A23" s="6" t="s">
        <v>51</v>
      </c>
      <c r="B23" s="7">
        <v>100990.39999999999</v>
      </c>
      <c r="D23" s="6" t="s">
        <v>52</v>
      </c>
      <c r="E23" s="7">
        <v>26800</v>
      </c>
    </row>
    <row r="24" spans="1:5">
      <c r="A24" s="6" t="s">
        <v>53</v>
      </c>
      <c r="B24" s="7">
        <v>98722</v>
      </c>
      <c r="D24" s="6" t="s">
        <v>51</v>
      </c>
      <c r="E24" s="7">
        <v>26298.799999999999</v>
      </c>
    </row>
    <row r="25" spans="1:5">
      <c r="A25" s="6" t="s">
        <v>52</v>
      </c>
      <c r="B25" s="7">
        <v>56665</v>
      </c>
      <c r="D25" s="6" t="s">
        <v>53</v>
      </c>
      <c r="E25" s="7">
        <v>18280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72014-088F-4879-B603-FBB074910900}">
  <dimension ref="A1:Q35"/>
  <sheetViews>
    <sheetView zoomScale="85" zoomScaleNormal="85" workbookViewId="0">
      <selection activeCell="B8" sqref="B8"/>
    </sheetView>
  </sheetViews>
  <sheetFormatPr defaultRowHeight="14.25"/>
  <cols>
    <col min="1" max="3" width="18.375" customWidth="1"/>
    <col min="4" max="4" width="18.375" style="15" customWidth="1"/>
    <col min="5" max="5" width="20.125" customWidth="1"/>
    <col min="6" max="6" width="17.75" customWidth="1"/>
    <col min="7" max="7" width="17.75" style="15" customWidth="1"/>
    <col min="8" max="8" width="20.75" customWidth="1"/>
    <col min="9" max="9" width="17.625" customWidth="1"/>
    <col min="10" max="10" width="17.625" style="15" customWidth="1"/>
    <col min="11" max="11" width="11.5" bestFit="1" customWidth="1"/>
    <col min="12" max="12" width="26.875" bestFit="1" customWidth="1"/>
    <col min="13" max="13" width="26.625" customWidth="1"/>
    <col min="14" max="15" width="6.375" customWidth="1"/>
    <col min="16" max="16" width="21.5" bestFit="1" customWidth="1"/>
    <col min="17" max="17" width="16.25" bestFit="1" customWidth="1"/>
  </cols>
  <sheetData>
    <row r="1" spans="1:17" ht="18">
      <c r="A1" s="6" t="s">
        <v>54</v>
      </c>
      <c r="B1" s="6" t="s">
        <v>55</v>
      </c>
      <c r="C1" s="14" t="s">
        <v>56</v>
      </c>
      <c r="E1" s="16" t="s">
        <v>57</v>
      </c>
      <c r="F1" s="14" t="s">
        <v>58</v>
      </c>
      <c r="H1" s="16" t="s">
        <v>59</v>
      </c>
      <c r="I1" s="14" t="s">
        <v>60</v>
      </c>
      <c r="L1" s="1" t="s">
        <v>24</v>
      </c>
      <c r="M1" s="10"/>
      <c r="P1" s="41" t="s">
        <v>61</v>
      </c>
      <c r="Q1" s="17">
        <v>728500</v>
      </c>
    </row>
    <row r="2" spans="1:17" ht="23.25">
      <c r="A2" s="6" t="s">
        <v>39</v>
      </c>
      <c r="B2" s="17">
        <v>47229.16</v>
      </c>
      <c r="C2" s="18">
        <v>120050.16</v>
      </c>
      <c r="D2" s="19"/>
      <c r="E2" s="20">
        <v>31719.919999999998</v>
      </c>
      <c r="F2" s="21">
        <v>93220.9</v>
      </c>
      <c r="G2" s="19"/>
      <c r="H2" s="22">
        <v>41892.29</v>
      </c>
      <c r="I2" s="18">
        <v>120006.29</v>
      </c>
      <c r="J2" s="19"/>
      <c r="L2" s="39" t="s">
        <v>86</v>
      </c>
      <c r="M2" s="7">
        <v>1468076.95</v>
      </c>
      <c r="N2" s="45" t="s">
        <v>95</v>
      </c>
      <c r="O2" s="46"/>
      <c r="P2" s="42" t="s">
        <v>62</v>
      </c>
      <c r="Q2" s="17">
        <v>2718000</v>
      </c>
    </row>
    <row r="3" spans="1:17" ht="23.25">
      <c r="A3" s="6" t="s">
        <v>41</v>
      </c>
      <c r="B3" s="23">
        <v>21600</v>
      </c>
      <c r="C3" s="21">
        <v>84475</v>
      </c>
      <c r="D3" s="19"/>
      <c r="E3" s="20">
        <v>22288.9</v>
      </c>
      <c r="F3" s="21">
        <v>83026.899999999994</v>
      </c>
      <c r="G3" s="19"/>
      <c r="H3" s="22">
        <v>46060</v>
      </c>
      <c r="I3" s="18">
        <v>124482.01</v>
      </c>
      <c r="J3" s="19"/>
      <c r="L3" s="13" t="s">
        <v>87</v>
      </c>
      <c r="M3" s="7">
        <v>818735.6</v>
      </c>
      <c r="N3" s="45" t="s">
        <v>95</v>
      </c>
    </row>
    <row r="4" spans="1:17" ht="23.25">
      <c r="A4" s="6" t="s">
        <v>37</v>
      </c>
      <c r="B4" s="17">
        <v>51040</v>
      </c>
      <c r="C4" s="21">
        <v>130148</v>
      </c>
      <c r="D4" s="19"/>
      <c r="E4" s="20">
        <v>27150</v>
      </c>
      <c r="F4" s="21">
        <v>95130</v>
      </c>
      <c r="G4" s="19"/>
      <c r="H4" s="22">
        <v>46450</v>
      </c>
      <c r="I4" s="18">
        <v>157814.79999999999</v>
      </c>
      <c r="J4" s="19"/>
      <c r="L4" s="5" t="s">
        <v>88</v>
      </c>
      <c r="M4" s="7">
        <f>SUM(M2:M3)</f>
        <v>2286812.5499999998</v>
      </c>
      <c r="N4" s="45" t="s">
        <v>95</v>
      </c>
      <c r="O4" s="16"/>
      <c r="P4" s="43" t="s">
        <v>63</v>
      </c>
      <c r="Q4" s="40">
        <v>470000</v>
      </c>
    </row>
    <row r="5" spans="1:17">
      <c r="A5" s="6" t="s">
        <v>64</v>
      </c>
      <c r="B5" s="17">
        <v>52178.8</v>
      </c>
      <c r="C5" s="18">
        <v>182121.92</v>
      </c>
      <c r="D5" s="19"/>
      <c r="E5" s="22">
        <v>73590</v>
      </c>
      <c r="F5" s="18">
        <v>185830</v>
      </c>
      <c r="G5" s="19"/>
      <c r="H5" s="22">
        <v>91100</v>
      </c>
      <c r="I5" s="18">
        <v>180649</v>
      </c>
      <c r="J5" s="19"/>
      <c r="L5" s="6"/>
      <c r="M5" s="6"/>
      <c r="N5" s="6"/>
      <c r="O5" s="16"/>
      <c r="P5" s="43" t="s">
        <v>65</v>
      </c>
      <c r="Q5" s="40">
        <v>1783000</v>
      </c>
    </row>
    <row r="6" spans="1:17" ht="23.25">
      <c r="A6" s="6" t="s">
        <v>50</v>
      </c>
      <c r="B6" s="23">
        <v>12600</v>
      </c>
      <c r="C6" s="18">
        <v>94080</v>
      </c>
      <c r="D6" s="19"/>
      <c r="E6" s="20">
        <v>7130</v>
      </c>
      <c r="F6" s="21">
        <v>23513</v>
      </c>
      <c r="G6" s="19"/>
      <c r="H6" s="22">
        <v>33480</v>
      </c>
      <c r="I6" s="21">
        <v>47989</v>
      </c>
      <c r="J6" s="19"/>
      <c r="L6" s="39" t="s">
        <v>90</v>
      </c>
      <c r="M6" s="7">
        <v>1121409.19</v>
      </c>
      <c r="N6" s="45" t="s">
        <v>95</v>
      </c>
    </row>
    <row r="7" spans="1:17" ht="23.25">
      <c r="A7" s="6" t="s">
        <v>43</v>
      </c>
      <c r="B7" s="17">
        <v>35199</v>
      </c>
      <c r="C7" s="18">
        <v>97239</v>
      </c>
      <c r="D7" s="19"/>
      <c r="E7" s="20">
        <v>20720</v>
      </c>
      <c r="F7" s="21">
        <v>69660</v>
      </c>
      <c r="G7" s="19"/>
      <c r="H7" s="22">
        <v>35660</v>
      </c>
      <c r="I7" s="18">
        <v>103383</v>
      </c>
      <c r="J7" s="19"/>
      <c r="L7" s="13" t="s">
        <v>91</v>
      </c>
      <c r="M7" s="7">
        <v>805636.32</v>
      </c>
      <c r="N7" s="45" t="s">
        <v>95</v>
      </c>
      <c r="O7" s="16"/>
      <c r="P7" s="44" t="s">
        <v>66</v>
      </c>
      <c r="Q7" s="38">
        <v>258500</v>
      </c>
    </row>
    <row r="8" spans="1:17" ht="23.25">
      <c r="A8" s="6" t="s">
        <v>34</v>
      </c>
      <c r="B8" s="17">
        <v>86450</v>
      </c>
      <c r="C8" s="18">
        <v>175189</v>
      </c>
      <c r="D8" s="19"/>
      <c r="E8" s="22">
        <v>48088.800000000003</v>
      </c>
      <c r="F8" s="21">
        <v>103727.2</v>
      </c>
      <c r="G8" s="19"/>
      <c r="H8" s="22">
        <v>51886.400000000001</v>
      </c>
      <c r="I8" s="18">
        <v>193038.4</v>
      </c>
      <c r="J8" s="19"/>
      <c r="L8" s="5" t="s">
        <v>89</v>
      </c>
      <c r="M8" s="7">
        <f>SUM(M6:M7)</f>
        <v>1927045.5099999998</v>
      </c>
      <c r="N8" s="45" t="s">
        <v>95</v>
      </c>
      <c r="O8" s="16"/>
      <c r="P8" s="44" t="s">
        <v>67</v>
      </c>
      <c r="Q8" s="38">
        <v>935000</v>
      </c>
    </row>
    <row r="9" spans="1:17">
      <c r="A9" s="6" t="s">
        <v>53</v>
      </c>
      <c r="B9" s="23">
        <v>9170</v>
      </c>
      <c r="C9" s="21">
        <v>31525</v>
      </c>
      <c r="D9" s="19"/>
      <c r="E9" s="20">
        <v>2650</v>
      </c>
      <c r="F9" s="21">
        <v>17208</v>
      </c>
      <c r="G9" s="19"/>
      <c r="H9" s="20">
        <v>6460</v>
      </c>
      <c r="I9" s="21">
        <v>49989</v>
      </c>
      <c r="J9" s="19"/>
      <c r="L9" s="6"/>
      <c r="M9" s="6"/>
      <c r="N9" s="6"/>
    </row>
    <row r="10" spans="1:17" ht="23.25">
      <c r="A10" s="6" t="s">
        <v>45</v>
      </c>
      <c r="B10" s="17">
        <v>28305</v>
      </c>
      <c r="C10" s="18">
        <v>107708.8</v>
      </c>
      <c r="D10" s="19"/>
      <c r="E10" s="22">
        <v>28240</v>
      </c>
      <c r="F10" s="21">
        <v>63301.8</v>
      </c>
      <c r="G10" s="19"/>
      <c r="H10" s="22">
        <v>33900</v>
      </c>
      <c r="I10" s="21">
        <v>58143</v>
      </c>
      <c r="J10" s="19"/>
      <c r="L10" s="39" t="s">
        <v>92</v>
      </c>
      <c r="M10" s="7">
        <v>1544076</v>
      </c>
      <c r="N10" s="45" t="s">
        <v>95</v>
      </c>
    </row>
    <row r="11" spans="1:17" ht="23.25">
      <c r="A11" s="6" t="s">
        <v>46</v>
      </c>
      <c r="B11" s="23">
        <v>21058.799999999999</v>
      </c>
      <c r="C11" s="21">
        <v>109818.8</v>
      </c>
      <c r="D11" s="19"/>
      <c r="E11" s="20">
        <v>12260</v>
      </c>
      <c r="F11" s="21">
        <v>65525</v>
      </c>
      <c r="G11" s="19"/>
      <c r="H11" s="20">
        <v>22560</v>
      </c>
      <c r="I11" s="21">
        <v>76575</v>
      </c>
      <c r="J11" s="19"/>
      <c r="L11" s="13" t="s">
        <v>93</v>
      </c>
      <c r="M11" s="7">
        <v>1091961.3999999999</v>
      </c>
      <c r="N11" s="47" t="s">
        <v>96</v>
      </c>
      <c r="P11" s="48" t="s">
        <v>72</v>
      </c>
      <c r="Q11" s="49">
        <v>52791507.350000001</v>
      </c>
    </row>
    <row r="12" spans="1:17" ht="23.25">
      <c r="A12" s="6" t="s">
        <v>48</v>
      </c>
      <c r="B12" s="23">
        <v>13030</v>
      </c>
      <c r="C12" s="21">
        <v>72646.87</v>
      </c>
      <c r="D12" s="19"/>
      <c r="E12" s="20">
        <v>22847.599999999999</v>
      </c>
      <c r="F12" s="21">
        <v>67564.59</v>
      </c>
      <c r="G12" s="19"/>
      <c r="H12" s="22">
        <v>44218.8</v>
      </c>
      <c r="I12" s="21">
        <v>83349.7</v>
      </c>
      <c r="J12" s="19"/>
      <c r="L12" s="5" t="s">
        <v>94</v>
      </c>
      <c r="M12" s="7">
        <f>SUM(M10:M11)</f>
        <v>2636037.4</v>
      </c>
      <c r="N12" s="45" t="s">
        <v>95</v>
      </c>
      <c r="Q12" s="10"/>
    </row>
    <row r="13" spans="1:17">
      <c r="A13" s="6" t="s">
        <v>40</v>
      </c>
      <c r="B13" s="17">
        <v>33827.599999999999</v>
      </c>
      <c r="C13" s="21">
        <v>70727.600000000006</v>
      </c>
      <c r="D13" s="19"/>
      <c r="E13" s="22">
        <v>32370</v>
      </c>
      <c r="F13" s="21">
        <v>60838</v>
      </c>
      <c r="G13" s="19"/>
      <c r="H13" s="22">
        <v>39990</v>
      </c>
      <c r="I13" s="21">
        <v>89720</v>
      </c>
      <c r="J13" s="19"/>
      <c r="P13" s="6" t="s">
        <v>76</v>
      </c>
      <c r="Q13" s="7">
        <f>(I35+F35+C35)</f>
        <v>10012807.23</v>
      </c>
    </row>
    <row r="14" spans="1:17">
      <c r="A14" s="6" t="s">
        <v>51</v>
      </c>
      <c r="B14" s="23">
        <v>7700</v>
      </c>
      <c r="C14" s="21">
        <v>29652.799999999999</v>
      </c>
      <c r="D14" s="19"/>
      <c r="E14" s="20">
        <v>5920</v>
      </c>
      <c r="F14" s="21">
        <v>23118.799999999999</v>
      </c>
      <c r="G14" s="19"/>
      <c r="H14" s="20">
        <v>12678.8</v>
      </c>
      <c r="I14" s="21">
        <v>48218.8</v>
      </c>
      <c r="J14" s="19"/>
    </row>
    <row r="15" spans="1:17">
      <c r="A15" s="6" t="s">
        <v>52</v>
      </c>
      <c r="B15" s="7"/>
      <c r="C15" s="24"/>
      <c r="D15" s="19"/>
      <c r="E15" s="20">
        <v>19750</v>
      </c>
      <c r="F15" s="21">
        <v>32275</v>
      </c>
      <c r="G15" s="19"/>
      <c r="H15" s="20">
        <v>7050</v>
      </c>
      <c r="I15" s="21">
        <v>24390</v>
      </c>
      <c r="J15" s="19"/>
    </row>
    <row r="16" spans="1:17">
      <c r="A16" s="6" t="s">
        <v>31</v>
      </c>
      <c r="B16" s="23">
        <v>39949</v>
      </c>
      <c r="C16" s="21">
        <v>162694</v>
      </c>
      <c r="D16" s="19"/>
      <c r="E16" s="20">
        <v>37060</v>
      </c>
      <c r="F16" s="21">
        <v>137470</v>
      </c>
      <c r="G16" s="19"/>
      <c r="H16" s="22">
        <v>67360</v>
      </c>
      <c r="I16" s="18">
        <v>186328</v>
      </c>
      <c r="J16" s="19"/>
    </row>
    <row r="17" spans="1:14" ht="18">
      <c r="A17" s="6" t="s">
        <v>68</v>
      </c>
      <c r="B17" s="25">
        <f>SUM(B2:B16)</f>
        <v>459337.36</v>
      </c>
      <c r="C17" s="26">
        <f>SUM(C2:C16)</f>
        <v>1468076.9500000004</v>
      </c>
      <c r="D17" s="19"/>
      <c r="E17" s="27">
        <f>SUM(E2:E16)</f>
        <v>391785.22</v>
      </c>
      <c r="F17" s="26">
        <f>SUM(F2:F16)</f>
        <v>1121409.19</v>
      </c>
      <c r="G17" s="19"/>
      <c r="H17" s="27">
        <f>SUM(H2:H16)</f>
        <v>580746.29</v>
      </c>
      <c r="I17" s="26">
        <f>SUM(I2:I16)</f>
        <v>1544076</v>
      </c>
      <c r="J17" s="19"/>
      <c r="L17" s="1" t="s">
        <v>26</v>
      </c>
      <c r="M17" s="10"/>
    </row>
    <row r="18" spans="1:14" ht="23.25">
      <c r="A18" s="6"/>
      <c r="B18" s="28"/>
      <c r="C18" s="29"/>
      <c r="D18" s="19"/>
      <c r="E18" s="30"/>
      <c r="F18" s="29"/>
      <c r="G18" s="19"/>
      <c r="H18" s="10"/>
      <c r="I18" s="10"/>
      <c r="J18" s="19"/>
      <c r="L18" s="39" t="s">
        <v>86</v>
      </c>
      <c r="M18" s="7">
        <v>459337.36</v>
      </c>
      <c r="N18" s="45" t="s">
        <v>95</v>
      </c>
    </row>
    <row r="19" spans="1:14" ht="23.25">
      <c r="A19" s="6" t="s">
        <v>69</v>
      </c>
      <c r="B19" s="23">
        <v>16260</v>
      </c>
      <c r="C19" s="21">
        <v>34654.800000000003</v>
      </c>
      <c r="D19" s="19"/>
      <c r="E19" s="22">
        <v>31678</v>
      </c>
      <c r="F19" s="21">
        <v>98005.5</v>
      </c>
      <c r="G19" s="19"/>
      <c r="H19" s="22">
        <v>36940</v>
      </c>
      <c r="I19" s="18">
        <v>119266</v>
      </c>
      <c r="J19" s="19"/>
      <c r="L19" s="13" t="s">
        <v>87</v>
      </c>
      <c r="M19" s="7">
        <v>276049</v>
      </c>
      <c r="N19" s="47" t="s">
        <v>96</v>
      </c>
    </row>
    <row r="20" spans="1:14" ht="23.25">
      <c r="A20" s="6" t="s">
        <v>36</v>
      </c>
      <c r="B20" s="17">
        <v>38560</v>
      </c>
      <c r="C20" s="21">
        <v>116935</v>
      </c>
      <c r="D20" s="19"/>
      <c r="E20" s="22">
        <v>52830</v>
      </c>
      <c r="F20" s="21">
        <v>107946.14</v>
      </c>
      <c r="G20" s="19"/>
      <c r="H20" s="22">
        <v>55720</v>
      </c>
      <c r="I20" s="21">
        <v>110520</v>
      </c>
      <c r="J20" s="19"/>
      <c r="L20" s="5" t="s">
        <v>88</v>
      </c>
      <c r="M20" s="7">
        <f>SUM(M18:M19)</f>
        <v>735386.36</v>
      </c>
      <c r="N20" s="47" t="s">
        <v>96</v>
      </c>
    </row>
    <row r="21" spans="1:14">
      <c r="A21" s="6" t="s">
        <v>33</v>
      </c>
      <c r="B21" s="17">
        <v>53080</v>
      </c>
      <c r="C21" s="18">
        <v>151310</v>
      </c>
      <c r="D21" s="19"/>
      <c r="E21" s="22">
        <v>46800</v>
      </c>
      <c r="F21" s="21">
        <v>128092</v>
      </c>
      <c r="G21" s="19"/>
      <c r="H21" s="22">
        <v>57708.800000000003</v>
      </c>
      <c r="I21" s="18">
        <v>198788.8</v>
      </c>
      <c r="J21" s="19"/>
      <c r="L21" s="6"/>
      <c r="M21" s="6"/>
      <c r="N21" s="6"/>
    </row>
    <row r="22" spans="1:14">
      <c r="A22" s="6" t="s">
        <v>38</v>
      </c>
      <c r="B22" s="23">
        <v>18750</v>
      </c>
      <c r="C22" s="18">
        <v>121125</v>
      </c>
      <c r="D22" s="19"/>
      <c r="E22" s="22">
        <v>30720</v>
      </c>
      <c r="F22" s="18">
        <v>127342.68</v>
      </c>
      <c r="G22" s="19"/>
      <c r="H22" s="22">
        <v>33158.800000000003</v>
      </c>
      <c r="I22" s="18">
        <v>119893.8</v>
      </c>
      <c r="J22" s="19"/>
      <c r="L22" s="6"/>
      <c r="M22" s="6"/>
      <c r="N22" s="6"/>
    </row>
    <row r="23" spans="1:14" ht="23.25">
      <c r="A23" s="6" t="s">
        <v>47</v>
      </c>
      <c r="B23" s="23">
        <v>13959</v>
      </c>
      <c r="C23" s="21">
        <v>51347.8</v>
      </c>
      <c r="D23" s="19"/>
      <c r="E23" s="22">
        <v>23120</v>
      </c>
      <c r="F23" s="18">
        <v>90601</v>
      </c>
      <c r="G23" s="19"/>
      <c r="H23" s="20">
        <v>20930</v>
      </c>
      <c r="I23" s="18">
        <v>93420</v>
      </c>
      <c r="J23" s="19"/>
      <c r="L23" s="39" t="s">
        <v>90</v>
      </c>
      <c r="M23" s="7">
        <v>391785.22</v>
      </c>
      <c r="N23" s="45" t="s">
        <v>95</v>
      </c>
    </row>
    <row r="24" spans="1:14" ht="23.25">
      <c r="A24" s="6" t="s">
        <v>49</v>
      </c>
      <c r="B24" s="17">
        <v>29550</v>
      </c>
      <c r="C24" s="21">
        <v>47780</v>
      </c>
      <c r="D24" s="19"/>
      <c r="E24" s="20">
        <v>11570</v>
      </c>
      <c r="F24" s="21">
        <v>39340</v>
      </c>
      <c r="G24" s="19"/>
      <c r="H24" s="22">
        <v>26130</v>
      </c>
      <c r="I24" s="21">
        <v>32915</v>
      </c>
      <c r="J24" s="19"/>
      <c r="L24" s="13" t="s">
        <v>91</v>
      </c>
      <c r="M24" s="7">
        <v>337173</v>
      </c>
      <c r="N24" s="47" t="s">
        <v>96</v>
      </c>
    </row>
    <row r="25" spans="1:14" ht="23.25">
      <c r="A25" s="6" t="s">
        <v>32</v>
      </c>
      <c r="B25" s="17">
        <v>75960</v>
      </c>
      <c r="C25" s="18">
        <v>121343</v>
      </c>
      <c r="D25" s="19"/>
      <c r="E25" s="22">
        <v>62990</v>
      </c>
      <c r="F25" s="21">
        <v>90900</v>
      </c>
      <c r="G25" s="19"/>
      <c r="H25" s="22">
        <v>58962</v>
      </c>
      <c r="I25" s="21">
        <v>94662</v>
      </c>
      <c r="J25" s="19"/>
      <c r="L25" s="5" t="s">
        <v>89</v>
      </c>
      <c r="M25" s="7">
        <f>SUM(M23:M24)</f>
        <v>728958.22</v>
      </c>
      <c r="N25" s="47" t="s">
        <v>96</v>
      </c>
    </row>
    <row r="26" spans="1:14">
      <c r="A26" s="6" t="s">
        <v>42</v>
      </c>
      <c r="B26" s="23">
        <v>390</v>
      </c>
      <c r="C26" s="21">
        <v>7419</v>
      </c>
      <c r="D26" s="19"/>
      <c r="E26" s="20">
        <v>43995</v>
      </c>
      <c r="F26" s="21">
        <v>21550</v>
      </c>
      <c r="G26" s="19"/>
      <c r="H26" s="22">
        <v>79456.800000000003</v>
      </c>
      <c r="I26" s="18">
        <v>138266.79999999999</v>
      </c>
      <c r="J26" s="19"/>
      <c r="K26" s="19"/>
      <c r="L26" s="6"/>
      <c r="M26" s="6"/>
      <c r="N26" s="6"/>
    </row>
    <row r="27" spans="1:14" ht="23.25">
      <c r="A27" s="6" t="s">
        <v>35</v>
      </c>
      <c r="B27" s="23">
        <v>29540</v>
      </c>
      <c r="C27" s="18">
        <v>166821</v>
      </c>
      <c r="D27" s="19"/>
      <c r="E27" s="20">
        <v>33470</v>
      </c>
      <c r="F27" s="21">
        <v>101859</v>
      </c>
      <c r="G27" s="19"/>
      <c r="H27" s="22">
        <v>70620</v>
      </c>
      <c r="I27" s="18">
        <v>184229</v>
      </c>
      <c r="J27" s="19"/>
      <c r="L27" s="39" t="s">
        <v>92</v>
      </c>
      <c r="M27" s="7">
        <v>580746.29</v>
      </c>
      <c r="N27" s="47" t="s">
        <v>96</v>
      </c>
    </row>
    <row r="28" spans="1:14" ht="23.25">
      <c r="A28" s="31" t="s">
        <v>70</v>
      </c>
      <c r="B28" s="32">
        <f>SUM(B19:B27)</f>
        <v>276049</v>
      </c>
      <c r="C28" s="32">
        <f>SUM(C19:C27)</f>
        <v>818735.6</v>
      </c>
      <c r="D28" s="19"/>
      <c r="E28" s="32">
        <f>SUM(E19:E27)</f>
        <v>337173</v>
      </c>
      <c r="F28" s="26">
        <f>SUM(F19:F27)</f>
        <v>805636.32000000007</v>
      </c>
      <c r="G28" s="19"/>
      <c r="H28" s="27">
        <f>SUM(H19:H27)</f>
        <v>439626.39999999997</v>
      </c>
      <c r="I28" s="26">
        <f>SUM(I19:I27)</f>
        <v>1091961.3999999999</v>
      </c>
      <c r="J28" s="19"/>
      <c r="L28" s="13" t="s">
        <v>93</v>
      </c>
      <c r="M28" s="7">
        <v>439626.4</v>
      </c>
      <c r="N28" s="47" t="s">
        <v>96</v>
      </c>
    </row>
    <row r="29" spans="1:14" ht="23.25">
      <c r="A29" s="31"/>
      <c r="B29" s="19"/>
      <c r="C29" s="19"/>
      <c r="D29" s="19"/>
      <c r="E29" s="19"/>
      <c r="F29" s="33"/>
      <c r="G29" s="19"/>
      <c r="L29" s="5" t="s">
        <v>94</v>
      </c>
      <c r="M29" s="7">
        <f>SUM(M27:M28)</f>
        <v>1020372.6900000001</v>
      </c>
      <c r="N29" s="47" t="s">
        <v>96</v>
      </c>
    </row>
    <row r="30" spans="1:14">
      <c r="A30" s="6" t="s">
        <v>71</v>
      </c>
      <c r="B30" s="28">
        <f>(B17+B28)</f>
        <v>735386.36</v>
      </c>
      <c r="C30" s="28">
        <f t="shared" ref="C30:I30" si="0">(C17+C28)</f>
        <v>2286812.5500000003</v>
      </c>
      <c r="D30" s="19"/>
      <c r="E30" s="28">
        <f t="shared" si="0"/>
        <v>728958.22</v>
      </c>
      <c r="F30" s="28">
        <f t="shared" si="0"/>
        <v>1927045.51</v>
      </c>
      <c r="G30" s="19"/>
      <c r="H30" s="28">
        <f t="shared" si="0"/>
        <v>1020372.69</v>
      </c>
      <c r="I30" s="28">
        <f t="shared" si="0"/>
        <v>2636037.4</v>
      </c>
      <c r="J30" s="19"/>
    </row>
    <row r="31" spans="1:14">
      <c r="B31" s="19"/>
      <c r="C31" s="19"/>
      <c r="D31" s="19"/>
      <c r="E31" s="19"/>
      <c r="F31" s="10"/>
      <c r="G31" s="19"/>
    </row>
    <row r="32" spans="1:14">
      <c r="A32" s="6" t="s">
        <v>73</v>
      </c>
      <c r="B32" s="6"/>
      <c r="C32" s="7">
        <v>447052.32</v>
      </c>
      <c r="D32" s="19"/>
      <c r="E32" s="6" t="s">
        <v>73</v>
      </c>
      <c r="F32" s="7">
        <v>448511.85</v>
      </c>
      <c r="G32" s="19"/>
      <c r="H32" s="6" t="s">
        <v>73</v>
      </c>
      <c r="I32" s="7">
        <v>403420.58</v>
      </c>
      <c r="J32" s="19"/>
    </row>
    <row r="33" spans="1:10">
      <c r="A33" s="6" t="s">
        <v>74</v>
      </c>
      <c r="B33" s="6"/>
      <c r="C33" s="7">
        <v>163298.53</v>
      </c>
      <c r="D33" s="19"/>
      <c r="E33" s="6" t="s">
        <v>74</v>
      </c>
      <c r="F33" s="7">
        <v>134734.74</v>
      </c>
      <c r="G33" s="19"/>
      <c r="H33" s="6" t="s">
        <v>74</v>
      </c>
      <c r="I33" s="7">
        <v>138593.93</v>
      </c>
      <c r="J33" s="19"/>
    </row>
    <row r="34" spans="1:10">
      <c r="A34" s="6" t="s">
        <v>75</v>
      </c>
      <c r="B34" s="6"/>
      <c r="C34" s="7">
        <v>857305.87</v>
      </c>
      <c r="D34" s="19"/>
      <c r="E34" s="6" t="s">
        <v>75</v>
      </c>
      <c r="F34" s="7">
        <v>226458.45</v>
      </c>
      <c r="G34" s="19"/>
      <c r="H34" s="6" t="s">
        <v>75</v>
      </c>
      <c r="I34" s="7">
        <v>343535.5</v>
      </c>
      <c r="J34" s="19"/>
    </row>
    <row r="35" spans="1:10">
      <c r="A35" s="6" t="s">
        <v>16</v>
      </c>
      <c r="B35" s="7"/>
      <c r="C35" s="7">
        <f>SUM(C30:C34)</f>
        <v>3754469.27</v>
      </c>
      <c r="D35" s="19"/>
      <c r="E35" s="6" t="s">
        <v>16</v>
      </c>
      <c r="F35" s="7">
        <f>SUM(F30:F34)</f>
        <v>2736750.55</v>
      </c>
      <c r="G35" s="19"/>
      <c r="H35" s="6" t="s">
        <v>16</v>
      </c>
      <c r="I35" s="7">
        <f t="shared" ref="I35" si="1">SUM(I30:I34)</f>
        <v>3521587.41</v>
      </c>
      <c r="J35" s="19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90B40-D4CC-47B8-91B0-A0B302BC05E1}">
  <dimension ref="A1:B12"/>
  <sheetViews>
    <sheetView zoomScaleNormal="100" workbookViewId="0">
      <selection activeCell="B8" sqref="B8"/>
    </sheetView>
  </sheetViews>
  <sheetFormatPr defaultRowHeight="14.25"/>
  <cols>
    <col min="1" max="1" width="23" bestFit="1" customWidth="1"/>
    <col min="2" max="2" width="20.75" bestFit="1" customWidth="1"/>
  </cols>
  <sheetData>
    <row r="1" spans="1:2" ht="18">
      <c r="A1" s="37" t="s">
        <v>84</v>
      </c>
      <c r="B1" s="37" t="s">
        <v>85</v>
      </c>
    </row>
    <row r="2" spans="1:2" ht="18">
      <c r="A2" s="34" t="s">
        <v>83</v>
      </c>
      <c r="B2" s="35">
        <v>32616000</v>
      </c>
    </row>
    <row r="3" spans="1:2" ht="18">
      <c r="A3" s="36" t="s">
        <v>75</v>
      </c>
      <c r="B3" s="35">
        <v>9000000</v>
      </c>
    </row>
    <row r="4" spans="1:2" ht="18">
      <c r="A4" s="34" t="s">
        <v>74</v>
      </c>
      <c r="B4" s="35">
        <v>1680000</v>
      </c>
    </row>
    <row r="5" spans="1:2" ht="18">
      <c r="A5" s="34" t="s">
        <v>73</v>
      </c>
      <c r="B5" s="35">
        <v>5655507.3499999996</v>
      </c>
    </row>
    <row r="6" spans="1:2" ht="18">
      <c r="A6" s="34" t="s">
        <v>79</v>
      </c>
      <c r="B6" s="35">
        <v>840000</v>
      </c>
    </row>
    <row r="7" spans="1:2" ht="18">
      <c r="A7" s="34" t="s">
        <v>80</v>
      </c>
      <c r="B7" s="35">
        <v>840000</v>
      </c>
    </row>
    <row r="8" spans="1:2" ht="18">
      <c r="A8" s="34" t="s">
        <v>81</v>
      </c>
      <c r="B8" s="35">
        <v>840000</v>
      </c>
    </row>
    <row r="9" spans="1:2" ht="18">
      <c r="A9" s="34" t="s">
        <v>82</v>
      </c>
      <c r="B9" s="35">
        <v>840000</v>
      </c>
    </row>
    <row r="10" spans="1:2" ht="18">
      <c r="A10" s="34" t="s">
        <v>77</v>
      </c>
      <c r="B10" s="35">
        <v>120000</v>
      </c>
    </row>
    <row r="11" spans="1:2" ht="18">
      <c r="A11" s="34" t="s">
        <v>78</v>
      </c>
      <c r="B11" s="35">
        <v>360000</v>
      </c>
    </row>
    <row r="12" spans="1:2" ht="18">
      <c r="A12" s="34" t="s">
        <v>72</v>
      </c>
      <c r="B12" s="35">
        <f>SUM(B2:B11)</f>
        <v>52791507.350000001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Analise ultimos 3 anos</vt:lpstr>
      <vt:lpstr>Acumulado B2C ano 2026</vt:lpstr>
      <vt:lpstr>RESULTADO ANO</vt:lpstr>
      <vt:lpstr>PLANO DE METAS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Fernando Lisboa do Val</dc:creator>
  <cp:lastModifiedBy>Oxigenar Terapia Respiratória</cp:lastModifiedBy>
  <dcterms:created xsi:type="dcterms:W3CDTF">2026-04-02T13:38:10Z</dcterms:created>
  <dcterms:modified xsi:type="dcterms:W3CDTF">2026-04-02T14:50:18Z</dcterms:modified>
</cp:coreProperties>
</file>